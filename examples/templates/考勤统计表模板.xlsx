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考勤明细" sheetId="3" r:id="rId1"/>
    <sheet name="考勤汇总表" sheetId="1" r:id="rId2"/>
    <sheet name="异常打卡明细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FAE</author>
    <author>小吴</author>
  </authors>
  <commentList>
    <comment ref="H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O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P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S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T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培训餐补</t>
        </r>
      </text>
    </comment>
    <comment ref="U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Z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A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G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H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D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T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培训餐补</t>
        </r>
      </text>
    </comment>
    <comment ref="J1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T1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培训餐补</t>
        </r>
      </text>
    </comment>
    <comment ref="U1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X1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Y1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8:30-18:30</t>
        </r>
      </text>
    </comment>
    <comment ref="L1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14:00-16:00</t>
        </r>
      </text>
    </comment>
    <comment ref="AA1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8:30-9:30</t>
        </r>
      </text>
    </comment>
    <comment ref="G1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H1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1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9:30-19:30</t>
        </r>
      </text>
    </comment>
    <comment ref="Q1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13:00-20:00</t>
        </r>
      </text>
    </comment>
    <comment ref="V1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Z1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E1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AG1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H17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T17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K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M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18:00-00:30</t>
        </r>
      </text>
    </comment>
    <comment ref="N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18:00-01:00</t>
        </r>
      </text>
    </comment>
    <comment ref="Q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9:30-17:30</t>
        </r>
      </text>
    </comment>
    <comment ref="V1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P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U2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13:00-14:00</t>
        </r>
      </text>
    </comment>
    <comment ref="E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G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L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加班餐补超过0点</t>
        </r>
      </text>
    </comment>
    <comment ref="S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T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Y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C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E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加班无餐补</t>
        </r>
      </text>
    </comment>
    <comment ref="AG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H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E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L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加班餐补超过0点</t>
        </r>
      </text>
    </comment>
    <comment ref="M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U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V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G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D3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F3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13:00-14：00</t>
        </r>
      </text>
    </comment>
    <comment ref="V3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14:30-17:30</t>
        </r>
      </text>
    </comment>
    <comment ref="AB3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15:00-16:00</t>
        </r>
      </text>
    </comment>
    <comment ref="I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13:00-19:00</t>
        </r>
      </text>
    </comment>
    <comment ref="K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13:00-23:30</t>
        </r>
      </text>
    </comment>
    <comment ref="O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Q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13:30-21:30</t>
        </r>
      </text>
    </comment>
    <comment ref="R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14:00-19:00</t>
        </r>
      </text>
    </comment>
    <comment ref="AA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AB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C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E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14:30-17:30</t>
        </r>
      </text>
    </comment>
    <comment ref="AG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B3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8:30-11:00</t>
        </r>
      </text>
    </comment>
    <comment ref="AC3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8:30-9:00</t>
        </r>
      </text>
    </comment>
    <comment ref="J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13;00-17:00</t>
        </r>
      </text>
    </comment>
    <comment ref="L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19:00-20:30</t>
        </r>
      </text>
    </comment>
    <comment ref="Q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Y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10:00-15:30</t>
        </r>
      </text>
    </comment>
    <comment ref="AB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O37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14:30-17:30</t>
        </r>
      </text>
    </comment>
    <comment ref="V4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14:30-17:30</t>
        </r>
      </text>
    </comment>
    <comment ref="I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13:00-19:00</t>
        </r>
      </text>
    </comment>
    <comment ref="K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13:00-23:30</t>
        </r>
      </text>
    </comment>
    <comment ref="O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Q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13:00-21:30</t>
        </r>
      </text>
    </comment>
    <comment ref="R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14:00-19:00</t>
        </r>
      </text>
    </comment>
    <comment ref="AA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AB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C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G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V4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15:30-17:30</t>
        </r>
      </text>
    </comment>
    <comment ref="AH4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I4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4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S4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U4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X4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Z4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G4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H4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O4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Q4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T4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培训餐补</t>
        </r>
      </text>
    </comment>
    <comment ref="E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G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加班餐补超过0点</t>
        </r>
      </text>
    </comment>
    <comment ref="H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L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加班餐补超过0点</t>
        </r>
      </text>
    </comment>
    <comment ref="S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T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U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Z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A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B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C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H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I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K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S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T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U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X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Z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G5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8:30-9:00</t>
        </r>
      </text>
    </comment>
    <comment ref="P5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8:30-9:00</t>
        </r>
      </text>
    </comment>
    <comment ref="Z5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P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Q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S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T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18:00-19:00</t>
        </r>
      </text>
    </comment>
    <comment ref="E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J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M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N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O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S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U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Z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B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E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G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H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C57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E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F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G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J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21:00-次日20:00</t>
        </r>
      </text>
    </comment>
    <comment ref="M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N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O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P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R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13:00-23:00</t>
        </r>
      </text>
    </comment>
    <comment ref="U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B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V6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16:30-17:30</t>
        </r>
      </text>
    </comment>
    <comment ref="F6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22:30-01:00</t>
        </r>
      </text>
    </comment>
    <comment ref="G6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6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8:30-19:00</t>
        </r>
      </text>
    </comment>
    <comment ref="K6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8:30-16:30</t>
        </r>
      </text>
    </comment>
    <comment ref="R6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8:30-19:00</t>
        </r>
      </text>
    </comment>
    <comment ref="AC6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C6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11:30-17:30</t>
        </r>
      </text>
    </comment>
    <comment ref="K6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Q6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13:00-19:30</t>
        </r>
      </text>
    </comment>
    <comment ref="R6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AE6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13:00-22:00</t>
        </r>
      </text>
    </comment>
    <comment ref="AF6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P6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Q6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9:00-11:30</t>
        </r>
      </text>
    </comment>
    <comment ref="V6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W6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9:00-19:00</t>
        </r>
      </text>
    </comment>
    <comment ref="S7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Z7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G7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8:30-00:00</t>
        </r>
      </text>
    </comment>
    <comment ref="P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Q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9:30-20:00</t>
        </r>
      </text>
    </comment>
    <comment ref="R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13:00-20:30</t>
        </r>
      </text>
    </comment>
    <comment ref="W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10:00-21:00</t>
        </r>
      </text>
    </comment>
    <comment ref="X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14:00-22:00</t>
        </r>
      </text>
    </comment>
    <comment ref="Y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13:00-19:30</t>
        </r>
      </text>
    </comment>
    <comment ref="AE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14:00-19:00</t>
        </r>
      </text>
    </comment>
    <comment ref="I7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7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K7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10:00-15:30</t>
        </r>
      </text>
    </comment>
    <comment ref="Q7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13:00-20:30</t>
        </r>
      </text>
    </comment>
    <comment ref="R7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9:00-17:30</t>
        </r>
      </text>
    </comment>
    <comment ref="E7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J7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9:30-19:30</t>
        </r>
      </text>
    </comment>
    <comment ref="Q7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9:00-18:30</t>
        </r>
      </text>
    </comment>
    <comment ref="S7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P77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9:30-17:30</t>
        </r>
      </text>
    </comment>
    <comment ref="U77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14:30-17:30</t>
        </r>
      </text>
    </comment>
    <comment ref="V77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14:30-17:30</t>
        </r>
      </text>
    </comment>
    <comment ref="AC77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9:30-17:30</t>
        </r>
      </text>
    </comment>
    <comment ref="K8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10:00-20:00</t>
        </r>
      </text>
    </comment>
    <comment ref="R8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9:00-20:00</t>
        </r>
      </text>
    </comment>
    <comment ref="W8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10:00-19:30</t>
        </r>
      </text>
    </comment>
    <comment ref="AF8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AG87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8:30-9:30</t>
        </r>
      </text>
    </comment>
    <comment ref="R8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13:30-17:30</t>
        </r>
      </text>
    </comment>
    <comment ref="AC8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E8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8:30-15:30</t>
        </r>
      </text>
    </comment>
    <comment ref="AB8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AD8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K9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13:00-17:00</t>
        </r>
      </text>
    </comment>
    <comment ref="L9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S9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B9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L9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T9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H9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L9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8:30-9:00</t>
        </r>
      </text>
    </comment>
    <comment ref="O9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17:00-17:30</t>
        </r>
      </text>
    </comment>
    <comment ref="AD9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8:30-9:30</t>
        </r>
      </text>
    </comment>
    <comment ref="E9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H9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9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10:00-15:00</t>
        </r>
      </text>
    </comment>
    <comment ref="T9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培训餐补</t>
        </r>
      </text>
    </comment>
    <comment ref="S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U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Z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A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B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C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G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G97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G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H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K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13:00-20:00</t>
        </r>
      </text>
    </comment>
    <comment ref="L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O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U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A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B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C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D10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N10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Z10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F10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9:30-17:30</t>
        </r>
      </text>
    </comment>
    <comment ref="E10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Q10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加班无餐补</t>
        </r>
      </text>
    </comment>
    <comment ref="U10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B10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C10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H10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K10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9:00-17:30</t>
        </r>
      </text>
    </comment>
    <comment ref="Q10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13:00-20:30</t>
        </r>
      </text>
    </comment>
    <comment ref="R10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13:00-19:00</t>
        </r>
      </text>
    </comment>
    <comment ref="F10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T10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E1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C1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A11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B11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Y11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8:30-19：30</t>
        </r>
      </text>
    </comment>
    <comment ref="F1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G1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H1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O1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M11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M12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R12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13:00-21:00</t>
        </r>
      </text>
    </comment>
    <comment ref="U12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V12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E12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13:00-21:00</t>
        </r>
      </text>
    </comment>
    <comment ref="AF12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13:00-19:30</t>
        </r>
      </text>
    </comment>
    <comment ref="AH12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E12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8:30-9:30</t>
        </r>
      </text>
    </comment>
    <comment ref="M12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8:30-9:30</t>
        </r>
      </text>
    </comment>
    <comment ref="L1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M12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I1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M1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T1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U1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Z1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G12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12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V12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W12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AA12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B12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D12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G12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A13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G13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I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J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L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N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P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Q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S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T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V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Y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AA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B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C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E1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I1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J1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9:00-19:00</t>
        </r>
      </text>
    </comment>
    <comment ref="Q1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9:30-15:00</t>
        </r>
      </text>
    </comment>
    <comment ref="S13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T1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培训餐补</t>
        </r>
      </text>
    </comment>
    <comment ref="V13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W1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10:00-19:30</t>
        </r>
      </text>
    </comment>
    <comment ref="Z13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E1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9:30-16:00</t>
        </r>
      </text>
    </comment>
    <comment ref="Q1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18:00-21:00</t>
        </r>
      </text>
    </comment>
    <comment ref="W1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8:30-18:30</t>
        </r>
      </text>
    </comment>
    <comment ref="H14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J1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L14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O14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P14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1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R1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S14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T14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14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C14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14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14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夜班</t>
        </r>
      </text>
    </comment>
    <comment ref="AH14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夜班</t>
        </r>
      </text>
    </comment>
    <comment ref="J14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11:30-19:00</t>
        </r>
      </text>
    </comment>
    <comment ref="L14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M14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Z14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Q1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8:30-15:00</t>
        </r>
      </text>
    </comment>
    <comment ref="V14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X1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8:30-16:30</t>
        </r>
      </text>
    </comment>
    <comment ref="AF1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8:30-17:00</t>
        </r>
      </text>
    </comment>
    <comment ref="J1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9:30-20:00</t>
        </r>
      </text>
    </comment>
    <comment ref="Q1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10:00-18:30</t>
        </r>
      </text>
    </comment>
    <comment ref="F15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G15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J1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9:00-22:00</t>
        </r>
      </text>
    </comment>
    <comment ref="K1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9:00-19:30</t>
        </r>
      </text>
    </comment>
    <comment ref="M15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O15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1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9:00-14:30</t>
        </r>
      </text>
    </comment>
    <comment ref="R1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9:00-19:30</t>
        </r>
      </text>
    </comment>
    <comment ref="T15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V152" authorId="0">
      <text>
        <r>
          <rPr>
            <b/>
            <sz val="9"/>
            <rFont val="宋体"/>
            <charset val="134"/>
          </rPr>
          <t xml:space="preserve">FAE:
</t>
        </r>
        <r>
          <rPr>
            <sz val="9"/>
            <rFont val="宋体"/>
            <charset val="134"/>
          </rPr>
          <t>超过0点</t>
        </r>
      </text>
    </comment>
    <comment ref="W1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X1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9:00-19:30</t>
        </r>
      </text>
    </comment>
    <comment ref="Y1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9:00-20:00</t>
        </r>
      </text>
    </comment>
    <comment ref="G15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8:30-13:00</t>
        </r>
      </text>
    </comment>
    <comment ref="O15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H15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N15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P15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15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13:30-17:00</t>
        </r>
      </text>
    </comment>
    <comment ref="R15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10:00-18:00</t>
        </r>
      </text>
    </comment>
    <comment ref="I15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8:30-15:00</t>
        </r>
      </text>
    </comment>
    <comment ref="J1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9:30-20:00</t>
        </r>
      </text>
    </comment>
    <comment ref="K1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9:30-17:30</t>
        </r>
      </text>
    </comment>
    <comment ref="N15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R1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
</t>
        </r>
      </text>
    </comment>
    <comment ref="S15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X1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10:00-16;00</t>
        </r>
      </text>
    </comment>
    <comment ref="Y1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
</t>
        </r>
      </text>
    </comment>
    <comment ref="AC15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D15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15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H15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N157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13:30-17:30</t>
        </r>
      </text>
    </comment>
    <comment ref="Z157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8:30-9:00</t>
        </r>
      </text>
    </comment>
    <comment ref="G15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J1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S15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T1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培训餐补</t>
        </r>
      </text>
    </comment>
    <comment ref="AE1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9:00-14:30</t>
        </r>
      </text>
    </comment>
    <comment ref="E16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J16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8:30-16:30</t>
        </r>
      </text>
    </comment>
    <comment ref="Q16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8:30-16:30</t>
        </r>
      </text>
    </comment>
    <comment ref="S16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W16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
</t>
        </r>
      </text>
    </comment>
    <comment ref="I16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K16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13:30-19:30</t>
        </r>
      </text>
    </comment>
    <comment ref="M16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AC16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AE16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9:00-15:00</t>
        </r>
      </text>
    </comment>
    <comment ref="AH16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I16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F16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AH16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P17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Q17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9:30-17:30</t>
        </r>
      </text>
    </comment>
    <comment ref="S17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U17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Z17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A17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C17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17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C17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AD17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AG17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P1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U1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R17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Z17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B17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G177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8:30-13:30</t>
        </r>
      </text>
    </comment>
    <comment ref="M17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N17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Q17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9:30-20:30</t>
        </r>
      </text>
    </comment>
    <comment ref="AA17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AB17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AG17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J18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9:30-17:30</t>
        </r>
      </text>
    </comment>
    <comment ref="Q18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9:30-17:30</t>
        </r>
      </text>
    </comment>
    <comment ref="V18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Z18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P18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13:00-14:30</t>
        </r>
      </text>
    </comment>
    <comment ref="G18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I18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R18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8:30-11:30</t>
        </r>
      </text>
    </comment>
    <comment ref="E18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K18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M18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O18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P18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V18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W18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X18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9:00-19：30</t>
        </r>
      </text>
    </comment>
    <comment ref="Z18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C18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AD18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L18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P18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S18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U18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Z18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A18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18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C18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18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U19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D19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J19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8:30-17:00</t>
        </r>
      </text>
    </comment>
    <comment ref="X19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8:30-11:00</t>
        </r>
      </text>
    </comment>
    <comment ref="J19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14:00-20:30</t>
        </r>
      </text>
    </comment>
    <comment ref="W19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8:30-16:00</t>
        </r>
      </text>
    </comment>
    <comment ref="Y19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14:30-20:00</t>
        </r>
      </text>
    </comment>
    <comment ref="AE19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13:00-21:00</t>
        </r>
      </text>
    </comment>
    <comment ref="P1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D1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居家加班</t>
        </r>
      </text>
    </comment>
    <comment ref="J1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10:00-20:30</t>
        </r>
      </text>
    </comment>
    <comment ref="T19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1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E19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10:00-14:30</t>
        </r>
      </text>
    </comment>
    <comment ref="M19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16:00-17:30</t>
        </r>
      </text>
    </comment>
    <comment ref="AB20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C20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D20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Z20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A20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20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C20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H20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T20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培训餐补</t>
        </r>
      </text>
    </comment>
    <comment ref="Z20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G20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H20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M20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13:00-15:30</t>
        </r>
      </text>
    </comment>
    <comment ref="S20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10:30-13:30</t>
        </r>
      </text>
    </comment>
    <comment ref="E2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G21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H21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J2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13:00-19:00</t>
        </r>
      </text>
    </comment>
    <comment ref="K2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9:00-15:00</t>
        </r>
      </text>
    </comment>
    <comment ref="M21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N2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P2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S21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V2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Z2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A2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B2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E2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9:00-16:00</t>
        </r>
      </text>
    </comment>
    <comment ref="AH21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I21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J21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13:00-16:00</t>
        </r>
      </text>
    </comment>
    <comment ref="N21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O21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D21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21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H21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L21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Z21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21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K2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9:00-15:00</t>
        </r>
      </text>
    </comment>
    <comment ref="L21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R2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13:30-17:30</t>
        </r>
      </text>
    </comment>
    <comment ref="AE2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10:00-18:00</t>
        </r>
      </text>
    </comment>
    <comment ref="AF2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10:00-16:30</t>
        </r>
      </text>
    </comment>
    <comment ref="AA21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8：30-9:00</t>
        </r>
      </text>
    </comment>
    <comment ref="L22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T22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A22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8:30-10:30</t>
        </r>
      </text>
    </comment>
    <comment ref="AG22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15:00-17:30</t>
        </r>
      </text>
    </comment>
    <comment ref="AH22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K2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14:30-20:00</t>
        </r>
      </text>
    </comment>
    <comment ref="Q2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Y2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15:30-19:30</t>
        </r>
      </text>
    </comment>
    <comment ref="J2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13:00-22:00</t>
        </r>
      </text>
    </comment>
    <comment ref="Q2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13:00-20:30</t>
        </r>
      </text>
    </comment>
    <comment ref="R2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13:30-19:00</t>
        </r>
      </text>
    </comment>
    <comment ref="W2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9:00-14:30</t>
        </r>
      </text>
    </comment>
    <comment ref="Z22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F22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J2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10:00-19:30</t>
        </r>
      </text>
    </comment>
    <comment ref="K2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P22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2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10:00-19:30</t>
        </r>
      </text>
    </comment>
    <comment ref="X2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9:00-12:00</t>
        </r>
      </text>
    </comment>
    <comment ref="AE2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10:00-20:00</t>
        </r>
      </text>
    </comment>
    <comment ref="AF22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9:00-12:00</t>
        </r>
      </text>
    </comment>
    <comment ref="AH22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8：30-10:30</t>
        </r>
      </text>
    </comment>
    <comment ref="R23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14:00-20:00</t>
        </r>
      </text>
    </comment>
    <comment ref="W23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9:30-17:30</t>
        </r>
      </text>
    </comment>
    <comment ref="Y23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13:30-17:30</t>
        </r>
      </text>
    </comment>
    <comment ref="AE23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14:30-21:30</t>
        </r>
      </text>
    </comment>
    <comment ref="AF23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14:00-19:30</t>
        </r>
      </text>
    </comment>
    <comment ref="M23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E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F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J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8:30-04:30</t>
        </r>
      </text>
    </comment>
    <comment ref="K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13:00-20:00</t>
        </r>
      </text>
    </comment>
    <comment ref="L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M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N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O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P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R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20:30-22:30
13:00-18:30</t>
        </r>
      </text>
    </comment>
    <comment ref="AG2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超过0点</t>
        </r>
      </text>
    </comment>
    <comment ref="AH23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K2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X2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F2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L23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O23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R2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S23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E23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14:00-17:30</t>
        </r>
      </text>
    </comment>
    <comment ref="L23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M23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O23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2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10:30-17:30</t>
        </r>
      </text>
    </comment>
    <comment ref="T23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U23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E2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9:30-19:30</t>
        </r>
      </text>
    </comment>
    <comment ref="AH23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G23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8:30-10:30</t>
        </r>
      </text>
    </comment>
    <comment ref="O24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V24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24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E24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M24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J2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14:00-17:30</t>
        </r>
      </text>
    </comment>
    <comment ref="O25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2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13:00-20:30</t>
        </r>
      </text>
    </comment>
    <comment ref="AE25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9:00-16:30</t>
        </r>
      </text>
    </comment>
    <comment ref="P25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AG25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夜班</t>
        </r>
      </text>
    </comment>
    <comment ref="AH25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夜班</t>
        </r>
      </text>
    </comment>
    <comment ref="K2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M25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R2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T25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X2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22:30-01:00</t>
        </r>
      </text>
    </comment>
    <comment ref="Z25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2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4:30-8:30</t>
        </r>
      </text>
    </comment>
    <comment ref="AD25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O25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J25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13:00-20:30</t>
        </r>
      </text>
    </comment>
    <comment ref="K25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13:00-16:30</t>
        </r>
      </text>
    </comment>
    <comment ref="L25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25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W25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10:00-19:30</t>
        </r>
      </text>
    </comment>
    <comment ref="AF25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14:00-19:00</t>
        </r>
      </text>
    </comment>
    <comment ref="I25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8:30-9:30</t>
        </r>
      </text>
    </comment>
    <comment ref="J2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14:00-17:30</t>
        </r>
      </text>
    </comment>
    <comment ref="K25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J2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9:00-17:00</t>
        </r>
      </text>
    </comment>
    <comment ref="L25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25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8:30-15:30</t>
        </r>
      </text>
    </comment>
    <comment ref="E26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10:00-14:00</t>
        </r>
      </text>
    </comment>
    <comment ref="P26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G26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M26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26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E26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AG26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X27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9:00-17:00</t>
        </r>
      </text>
    </comment>
    <comment ref="T27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S27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U27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27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27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E27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13:30-19:00</t>
        </r>
      </text>
    </comment>
    <comment ref="AF27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14:30-20:00</t>
        </r>
      </text>
    </comment>
    <comment ref="U27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S27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V27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D27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27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J27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14:00-17:30</t>
        </r>
      </text>
    </comment>
    <comment ref="Q27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14:00-17:30</t>
        </r>
      </text>
    </comment>
    <comment ref="V27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X27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10:00-16:30</t>
        </r>
      </text>
    </comment>
    <comment ref="AE27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13:30-19:00</t>
        </r>
      </text>
    </comment>
    <comment ref="F281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8:30-9:00</t>
        </r>
      </text>
    </comment>
    <comment ref="G28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H28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L28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N28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O28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P28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28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10:00-15:00</t>
        </r>
      </text>
    </comment>
    <comment ref="AB28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H28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T283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8:30-12:00</t>
        </r>
      </text>
    </comment>
    <comment ref="AH28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K28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10:00-20:00</t>
        </r>
      </text>
    </comment>
    <comment ref="Q28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9:30-17:30</t>
        </r>
      </text>
    </comment>
    <comment ref="R28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10:30-17:30</t>
        </r>
      </text>
    </comment>
    <comment ref="X28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10:00-16:00</t>
        </r>
      </text>
    </comment>
    <comment ref="AF28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10:30-19:00</t>
        </r>
      </text>
    </comment>
    <comment ref="Z29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29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E29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9:00-19:30</t>
        </r>
      </text>
    </comment>
    <comment ref="AG29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Y29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O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P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29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S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T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U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V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Z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C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D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29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E2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J2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10:30-20:30</t>
        </r>
      </text>
    </comment>
    <comment ref="Q2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10:30-19:30</t>
        </r>
      </text>
    </comment>
    <comment ref="W29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9:30-21:30</t>
        </r>
      </text>
    </comment>
    <comment ref="G297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13:00-17:30</t>
        </r>
      </text>
    </comment>
    <comment ref="I29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S29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T29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U29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F29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8:30-16:00</t>
        </r>
      </text>
    </comment>
    <comment ref="AG29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O299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8:30-11：00</t>
        </r>
      </text>
    </comment>
    <comment ref="O30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302" authorId="1">
      <text>
        <r>
          <rPr>
            <sz val="9"/>
            <rFont val="宋体"/>
            <scheme val="minor"/>
            <charset val="0"/>
          </rPr>
          <t>13:00-17:00</t>
        </r>
      </text>
    </comment>
    <comment ref="AD302" authorId="1">
      <text>
        <r>
          <rPr>
            <sz val="9"/>
            <rFont val="宋体"/>
            <scheme val="minor"/>
            <charset val="0"/>
          </rPr>
          <t>17:30-19:00</t>
        </r>
      </text>
    </comment>
    <comment ref="AE302" authorId="1">
      <text>
        <r>
          <rPr>
            <b/>
            <sz val="9"/>
            <rFont val="宋体"/>
            <scheme val="minor"/>
            <charset val="0"/>
          </rPr>
          <t>9：30-18：00</t>
        </r>
      </text>
    </comment>
    <comment ref="J30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8：30-15:30</t>
        </r>
      </text>
    </comment>
    <comment ref="L30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P30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30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S30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T30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B30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306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30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15:00-18:00</t>
        </r>
      </text>
    </comment>
    <comment ref="R30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13:00-20:30</t>
        </r>
      </text>
    </comment>
    <comment ref="Y30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13:00-18:00</t>
        </r>
      </text>
    </comment>
    <comment ref="AE30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14:30-21:00</t>
        </r>
      </text>
    </comment>
    <comment ref="AF30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10:00-19:30</t>
        </r>
      </text>
    </comment>
    <comment ref="H31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O31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Q3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9:30-15:00</t>
        </r>
      </text>
    </comment>
    <comment ref="S31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T3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培训餐补</t>
        </r>
      </text>
    </comment>
    <comment ref="W3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10:00-17:30</t>
        </r>
      </text>
    </comment>
    <comment ref="Z31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E31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10:00-16:00</t>
        </r>
      </text>
    </comment>
    <comment ref="O31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P31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R31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10:30-20:00</t>
        </r>
      </text>
    </comment>
    <comment ref="AE31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11:00-21:00</t>
        </r>
      </text>
    </comment>
    <comment ref="O31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8：30-10:30</t>
        </r>
      </text>
    </comment>
    <comment ref="J31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8:30-18:30</t>
        </r>
      </text>
    </comment>
    <comment ref="L31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J3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9:30-20:00</t>
        </r>
      </text>
    </comment>
    <comment ref="K3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10:00-20:00</t>
        </r>
      </text>
    </comment>
    <comment ref="P3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Q3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14:30-17:00</t>
        </r>
      </text>
    </comment>
    <comment ref="V32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W3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X3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  <comment ref="Y3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13:00-16:30</t>
        </r>
      </text>
    </comment>
    <comment ref="AB32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E32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8:30-15:30</t>
        </r>
      </text>
    </comment>
    <comment ref="AH32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P33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S33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U33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A33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C33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33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H33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J3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11:00-19:00</t>
        </r>
      </text>
    </comment>
    <comment ref="Q3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11:00-17:30</t>
        </r>
      </text>
    </comment>
    <comment ref="X3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11:00-17:30</t>
        </r>
      </text>
    </comment>
    <comment ref="AE33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10:30-21:00</t>
        </r>
      </text>
    </comment>
    <comment ref="F33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L33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夜班</t>
        </r>
      </text>
    </comment>
    <comment ref="M33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夜班</t>
        </r>
      </text>
    </comment>
    <comment ref="N33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夜班</t>
        </r>
      </text>
    </comment>
    <comment ref="O33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夜班</t>
        </r>
      </text>
    </comment>
    <comment ref="P335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夜班</t>
        </r>
      </text>
    </comment>
    <comment ref="E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G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H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L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M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N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S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T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U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Z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A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B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G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AH33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加班餐补</t>
        </r>
      </text>
    </comment>
    <comment ref="E3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F34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10:00-19:00</t>
        </r>
      </text>
    </comment>
    <comment ref="M343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8:30-12:00</t>
        </r>
      </text>
    </comment>
    <comment ref="G3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AE3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8:30-15:30</t>
        </r>
      </text>
    </comment>
    <comment ref="AG34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18:00-19:30</t>
        </r>
      </text>
    </comment>
    <comment ref="U3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V35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Z360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F36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8:30-19:30</t>
        </r>
      </text>
    </comment>
    <comment ref="Z361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8:30-9:30</t>
        </r>
      </text>
    </comment>
    <comment ref="AC361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11:30-17:30</t>
        </r>
      </text>
    </comment>
    <comment ref="AF362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8:30-19:30</t>
        </r>
      </text>
    </comment>
    <comment ref="S36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T36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A364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Z365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8:30-9:30</t>
        </r>
      </text>
    </comment>
    <comment ref="U366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D36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F368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13:30-17:30</t>
        </r>
      </text>
    </comment>
    <comment ref="AH36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W37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10:00-17:30</t>
        </r>
      </text>
    </comment>
    <comment ref="AB37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G378" authorId="0">
      <text>
        <r>
          <rPr>
            <b/>
            <sz val="9"/>
            <rFont val="宋体"/>
            <scheme val="minor"/>
            <charset val="0"/>
          </rPr>
          <t>FAE:</t>
        </r>
        <r>
          <rPr>
            <sz val="9"/>
            <rFont val="宋体"/>
            <scheme val="minor"/>
            <charset val="0"/>
          </rPr>
          <t xml:space="preserve">
18:00-19:30</t>
        </r>
      </text>
    </comment>
    <comment ref="AH380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17:30-19:00</t>
        </r>
      </text>
    </comment>
    <comment ref="AE382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8:30-17:00</t>
        </r>
      </text>
    </comment>
    <comment ref="AE384" authorId="0">
      <text>
        <r>
          <rPr>
            <b/>
            <sz val="9"/>
            <rFont val="宋体"/>
            <charset val="134"/>
          </rPr>
          <t>FAE:</t>
        </r>
        <r>
          <rPr>
            <sz val="9"/>
            <rFont val="宋体"/>
            <charset val="134"/>
          </rPr>
          <t xml:space="preserve">
13:00-17:30</t>
        </r>
      </text>
    </comment>
  </commentList>
</comments>
</file>

<file path=xl/sharedStrings.xml><?xml version="1.0" encoding="utf-8"?>
<sst xmlns="http://schemas.openxmlformats.org/spreadsheetml/2006/main" count="5858" uniqueCount="340">
  <si>
    <t>考勤表</t>
  </si>
  <si>
    <r>
      <rPr>
        <sz val="9"/>
        <rFont val="宋体"/>
        <charset val="134"/>
      </rPr>
      <t xml:space="preserve">   所属期  </t>
    </r>
    <r>
      <rPr>
        <b/>
        <sz val="12"/>
        <rFont val="宋体"/>
        <charset val="134"/>
      </rPr>
      <t xml:space="preserve"> </t>
    </r>
    <r>
      <rPr>
        <b/>
        <sz val="11"/>
        <rFont val="宋体"/>
        <charset val="134"/>
      </rPr>
      <t>2026</t>
    </r>
    <r>
      <rPr>
        <sz val="11"/>
        <rFont val="宋体"/>
        <charset val="134"/>
      </rPr>
      <t>年</t>
    </r>
    <r>
      <rPr>
        <sz val="11"/>
        <rFont val="宋体"/>
        <charset val="134"/>
      </rPr>
      <t>6</t>
    </r>
    <r>
      <rPr>
        <sz val="11"/>
        <rFont val="宋体"/>
        <charset val="134"/>
      </rPr>
      <t xml:space="preserve">月 </t>
    </r>
    <r>
      <rPr>
        <sz val="9"/>
        <rFont val="宋体"/>
        <charset val="134"/>
      </rPr>
      <t xml:space="preserve">                                                                                                          </t>
    </r>
  </si>
  <si>
    <t>序
号</t>
  </si>
  <si>
    <t>所属公司</t>
  </si>
  <si>
    <t>姓名</t>
  </si>
  <si>
    <t>日期</t>
  </si>
  <si>
    <t>餐补</t>
  </si>
  <si>
    <t>餐补
次数</t>
  </si>
  <si>
    <t>出差 天数</t>
  </si>
  <si>
    <t>平时 加班</t>
  </si>
  <si>
    <t>周末  加班</t>
  </si>
  <si>
    <t>法定 加班</t>
  </si>
  <si>
    <t>本应
出勤</t>
  </si>
  <si>
    <t>实际
出勤</t>
  </si>
  <si>
    <t>年休假</t>
  </si>
  <si>
    <t>年假
剩余
小时</t>
  </si>
  <si>
    <t>病假</t>
  </si>
  <si>
    <t>事 假</t>
  </si>
  <si>
    <t>哺乳假</t>
  </si>
  <si>
    <t>婚假</t>
  </si>
  <si>
    <t>产假</t>
  </si>
  <si>
    <t>丧假</t>
  </si>
  <si>
    <t>育儿假</t>
  </si>
  <si>
    <t>旷工</t>
  </si>
  <si>
    <t>星期</t>
  </si>
  <si>
    <t>一</t>
  </si>
  <si>
    <t>二</t>
  </si>
  <si>
    <t>三</t>
  </si>
  <si>
    <t>四</t>
  </si>
  <si>
    <t>五</t>
  </si>
  <si>
    <t>六</t>
  </si>
  <si>
    <t>日</t>
  </si>
  <si>
    <t>JSFAE</t>
  </si>
  <si>
    <t>李欣</t>
  </si>
  <si>
    <t>出勤</t>
  </si>
  <si>
    <t>√</t>
  </si>
  <si>
    <t>☆</t>
  </si>
  <si>
    <t>加班</t>
  </si>
  <si>
    <t>曹顺有</t>
  </si>
  <si>
    <t>C</t>
  </si>
  <si>
    <t>烨成</t>
  </si>
  <si>
    <t>曹壮</t>
  </si>
  <si>
    <r>
      <rPr>
        <sz val="10"/>
        <color indexed="8"/>
        <rFont val="宋体"/>
        <charset val="134"/>
      </rPr>
      <t>O</t>
    </r>
    <r>
      <rPr>
        <sz val="10"/>
        <color indexed="8"/>
        <rFont val="宋体"/>
        <charset val="134"/>
      </rPr>
      <t>4.5</t>
    </r>
  </si>
  <si>
    <t>何文彬</t>
  </si>
  <si>
    <t>周博智</t>
  </si>
  <si>
    <t>吕姗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</si>
  <si>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2</t>
    </r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</si>
  <si>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1</t>
    </r>
  </si>
  <si>
    <t>陶传安</t>
  </si>
  <si>
    <r>
      <rPr>
        <sz val="10"/>
        <color indexed="8"/>
        <rFont val="宋体"/>
        <charset val="134"/>
      </rPr>
      <t>O</t>
    </r>
    <r>
      <rPr>
        <sz val="10"/>
        <color indexed="8"/>
        <rFont val="宋体"/>
        <charset val="134"/>
      </rPr>
      <t>3.5</t>
    </r>
  </si>
  <si>
    <r>
      <rPr>
        <sz val="10"/>
        <color indexed="8"/>
        <rFont val="宋体"/>
        <charset val="134"/>
      </rPr>
      <t>O</t>
    </r>
    <r>
      <rPr>
        <sz val="10"/>
        <color indexed="8"/>
        <rFont val="宋体"/>
        <charset val="134"/>
      </rPr>
      <t>8</t>
    </r>
  </si>
  <si>
    <r>
      <rPr>
        <sz val="10"/>
        <color indexed="8"/>
        <rFont val="宋体"/>
        <charset val="134"/>
      </rPr>
      <t>M</t>
    </r>
    <r>
      <rPr>
        <sz val="10"/>
        <color indexed="8"/>
        <rFont val="宋体"/>
        <charset val="134"/>
      </rPr>
      <t>8</t>
    </r>
  </si>
  <si>
    <t>M8</t>
  </si>
  <si>
    <t>蒋树森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</si>
  <si>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8</t>
    </r>
  </si>
  <si>
    <t>N4.5</t>
  </si>
  <si>
    <t>朱启姚</t>
  </si>
  <si>
    <t>袁亚鸿</t>
  </si>
  <si>
    <t>刘苏伟</t>
  </si>
  <si>
    <t>刘昌</t>
  </si>
  <si>
    <t>周钰杰</t>
  </si>
  <si>
    <t>O8</t>
  </si>
  <si>
    <t>周春</t>
  </si>
  <si>
    <t>陶雷</t>
  </si>
  <si>
    <t>CN3</t>
  </si>
  <si>
    <t>李琳</t>
  </si>
  <si>
    <r>
      <rPr>
        <sz val="10"/>
        <color indexed="8"/>
        <rFont val="宋体"/>
        <charset val="134"/>
      </rPr>
      <t>O</t>
    </r>
    <r>
      <rPr>
        <sz val="10"/>
        <color indexed="8"/>
        <rFont val="宋体"/>
        <charset val="134"/>
      </rPr>
      <t>2.5</t>
    </r>
  </si>
  <si>
    <r>
      <rPr>
        <sz val="10"/>
        <color indexed="8"/>
        <rFont val="宋体"/>
        <charset val="134"/>
      </rPr>
      <t>O</t>
    </r>
    <r>
      <rPr>
        <sz val="10"/>
        <color indexed="8"/>
        <rFont val="宋体"/>
        <charset val="134"/>
      </rPr>
      <t>0.5</t>
    </r>
  </si>
  <si>
    <t>韩逸轩</t>
  </si>
  <si>
    <t>时继宝</t>
  </si>
  <si>
    <t>杨少芳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</si>
  <si>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3</t>
    </r>
  </si>
  <si>
    <t>方舒强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</si>
  <si>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3.5</t>
    </r>
  </si>
  <si>
    <t>王允雷</t>
  </si>
  <si>
    <t>郑立明</t>
  </si>
  <si>
    <t>孙浩峰</t>
  </si>
  <si>
    <t>吴林峰</t>
  </si>
  <si>
    <r>
      <rPr>
        <sz val="10"/>
        <color indexed="8"/>
        <rFont val="宋体"/>
        <charset val="134"/>
      </rPr>
      <t>C</t>
    </r>
    <r>
      <rPr>
        <sz val="10"/>
        <color indexed="8"/>
        <rFont val="宋体"/>
        <charset val="134"/>
      </rPr>
      <t>O3.5</t>
    </r>
  </si>
  <si>
    <t>△8</t>
  </si>
  <si>
    <t>吴新涛</t>
  </si>
  <si>
    <t>CO1.5</t>
  </si>
  <si>
    <t>王善鹤</t>
  </si>
  <si>
    <t>聂玲珑</t>
  </si>
  <si>
    <t>周思汛</t>
  </si>
  <si>
    <t>朱田刚</t>
  </si>
  <si>
    <t>CN1</t>
  </si>
  <si>
    <t>熊培耀</t>
  </si>
  <si>
    <t>侯兴华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</si>
  <si>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5</t>
    </r>
  </si>
  <si>
    <t>候胜利</t>
  </si>
  <si>
    <t>刘瀚夫</t>
  </si>
  <si>
    <t>CO2</t>
  </si>
  <si>
    <t>蔡娟</t>
  </si>
  <si>
    <t>吴政</t>
  </si>
  <si>
    <t>蒋文淇</t>
  </si>
  <si>
    <t>夏锴</t>
  </si>
  <si>
    <t>N8</t>
  </si>
  <si>
    <t>N7</t>
  </si>
  <si>
    <t>N3</t>
  </si>
  <si>
    <t>石正东</t>
  </si>
  <si>
    <t>蒋荣</t>
  </si>
  <si>
    <t>吴思贤</t>
  </si>
  <si>
    <t>张宇恒</t>
  </si>
  <si>
    <t>CN0.5</t>
  </si>
  <si>
    <t>刘影</t>
  </si>
  <si>
    <t>郭苑荷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</si>
  <si>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4.5</t>
    </r>
  </si>
  <si>
    <t>李孟娇</t>
  </si>
  <si>
    <t>李雯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</si>
  <si>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0.5</t>
    </r>
  </si>
  <si>
    <t>钱峰</t>
  </si>
  <si>
    <t>马淑慧</t>
  </si>
  <si>
    <t>何朋</t>
  </si>
  <si>
    <t>王宝森</t>
  </si>
  <si>
    <t>吴通</t>
  </si>
  <si>
    <t>彭瑞倩</t>
  </si>
  <si>
    <t>L</t>
  </si>
  <si>
    <t>黎绍根</t>
  </si>
  <si>
    <t>黄颖</t>
  </si>
  <si>
    <t>范伟</t>
  </si>
  <si>
    <t>孙思杰</t>
  </si>
  <si>
    <t>赵有强</t>
  </si>
  <si>
    <t>左翠翠</t>
  </si>
  <si>
    <t>陶勇</t>
  </si>
  <si>
    <t>章伟</t>
  </si>
  <si>
    <t>N1</t>
  </si>
  <si>
    <t>刘红魁</t>
  </si>
  <si>
    <t>刘亚齐</t>
  </si>
  <si>
    <t>N3.5</t>
  </si>
  <si>
    <t>刘婷婷</t>
  </si>
  <si>
    <t>陈一雷</t>
  </si>
  <si>
    <t>刘会</t>
  </si>
  <si>
    <t>张丽雯</t>
  </si>
  <si>
    <t>凌彤</t>
  </si>
  <si>
    <t>刘战方</t>
  </si>
  <si>
    <t>于晨</t>
  </si>
  <si>
    <t>王宁</t>
  </si>
  <si>
    <t>田润</t>
  </si>
  <si>
    <t>KSFAE</t>
  </si>
  <si>
    <t>李述华</t>
  </si>
  <si>
    <t>柯圣东</t>
  </si>
  <si>
    <t>秦红</t>
  </si>
  <si>
    <t>孙庭伟</t>
  </si>
  <si>
    <t>朱震</t>
  </si>
  <si>
    <r>
      <rPr>
        <sz val="10"/>
        <color indexed="8"/>
        <rFont val="宋体"/>
        <charset val="134"/>
      </rPr>
      <t>H</t>
    </r>
    <r>
      <rPr>
        <sz val="10"/>
        <color indexed="8"/>
        <rFont val="宋体"/>
        <charset val="134"/>
      </rPr>
      <t>8</t>
    </r>
  </si>
  <si>
    <t>H8</t>
  </si>
  <si>
    <t>孔慧婷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</si>
  <si>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6</t>
    </r>
  </si>
  <si>
    <t>曹皖玲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</si>
  <si>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4</t>
    </r>
  </si>
  <si>
    <t>蒋凯伦</t>
  </si>
  <si>
    <t>晁伟</t>
  </si>
  <si>
    <t>鲁红伟</t>
  </si>
  <si>
    <t>张宁存</t>
  </si>
  <si>
    <t>季恒健</t>
  </si>
  <si>
    <t>薛鹏程</t>
  </si>
  <si>
    <t>赵宏宝</t>
  </si>
  <si>
    <t>林超</t>
  </si>
  <si>
    <t>张晋萁</t>
  </si>
  <si>
    <t>李文祥</t>
  </si>
  <si>
    <t>N5 O3</t>
  </si>
  <si>
    <t>欧智元</t>
  </si>
  <si>
    <t>王泽旭</t>
  </si>
  <si>
    <t>朱根旺</t>
  </si>
  <si>
    <t>N1.5</t>
  </si>
  <si>
    <t>孙贵平</t>
  </si>
  <si>
    <r>
      <rPr>
        <sz val="10"/>
        <color indexed="8"/>
        <rFont val="宋体"/>
        <charset val="134"/>
      </rPr>
      <t>Y</t>
    </r>
    <r>
      <rPr>
        <sz val="10"/>
        <color indexed="8"/>
        <rFont val="宋体"/>
        <charset val="134"/>
      </rPr>
      <t>8</t>
    </r>
  </si>
  <si>
    <t>池华昌</t>
  </si>
  <si>
    <t>何超</t>
  </si>
  <si>
    <t>赵越</t>
  </si>
  <si>
    <t>陈蒙蒙</t>
  </si>
  <si>
    <t>刘佳伟</t>
  </si>
  <si>
    <t>顾宁宇</t>
  </si>
  <si>
    <t>龚林枫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</si>
  <si>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1.5</t>
    </r>
  </si>
  <si>
    <t>张杰</t>
  </si>
  <si>
    <t>李阳</t>
  </si>
  <si>
    <t>张渝桥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</si>
  <si>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7.5O0.5</t>
    </r>
  </si>
  <si>
    <t>张运腾</t>
  </si>
  <si>
    <t>余世才</t>
  </si>
  <si>
    <r>
      <rPr>
        <sz val="10"/>
        <color indexed="8"/>
        <rFont val="宋体"/>
        <charset val="134"/>
      </rPr>
      <t>N</t>
    </r>
    <r>
      <rPr>
        <sz val="10"/>
        <color indexed="8"/>
        <rFont val="宋体"/>
        <charset val="134"/>
      </rPr>
      <t>2.5</t>
    </r>
  </si>
  <si>
    <t>战佳伟</t>
  </si>
  <si>
    <t>李梦雨</t>
  </si>
  <si>
    <t>唐瑞琪</t>
  </si>
  <si>
    <t>马镇</t>
  </si>
  <si>
    <t>雷军</t>
  </si>
  <si>
    <t>柏人玮</t>
  </si>
  <si>
    <r>
      <rPr>
        <sz val="10"/>
        <color indexed="8"/>
        <rFont val="宋体"/>
        <charset val="134"/>
      </rPr>
      <t>△2</t>
    </r>
    <r>
      <rPr>
        <sz val="10"/>
        <color indexed="8"/>
        <rFont val="宋体"/>
        <charset val="134"/>
      </rPr>
      <t>.5</t>
    </r>
  </si>
  <si>
    <r>
      <rPr>
        <sz val="10"/>
        <color indexed="8"/>
        <rFont val="宋体"/>
        <charset val="134"/>
      </rPr>
      <t>△3</t>
    </r>
    <r>
      <rPr>
        <sz val="10"/>
        <color indexed="8"/>
        <rFont val="宋体"/>
        <charset val="134"/>
      </rPr>
      <t>.5</t>
    </r>
  </si>
  <si>
    <t>笪忠民</t>
  </si>
  <si>
    <t>魏留洋</t>
  </si>
  <si>
    <t>甘敏强</t>
  </si>
  <si>
    <t>冯映龙</t>
  </si>
  <si>
    <r>
      <rPr>
        <sz val="10"/>
        <color indexed="8"/>
        <rFont val="宋体"/>
        <charset val="134"/>
      </rPr>
      <t>O</t>
    </r>
    <r>
      <rPr>
        <sz val="10"/>
        <color indexed="8"/>
        <rFont val="宋体"/>
        <charset val="134"/>
      </rPr>
      <t>2</t>
    </r>
  </si>
  <si>
    <t>万玺铜</t>
  </si>
  <si>
    <t>冯苗苗</t>
  </si>
  <si>
    <t>孙琦</t>
  </si>
  <si>
    <t>宋昱澎</t>
  </si>
  <si>
    <t>邱开宇</t>
  </si>
  <si>
    <t>沈宇章</t>
  </si>
  <si>
    <t>CN8</t>
  </si>
  <si>
    <t>秦浩</t>
  </si>
  <si>
    <t>张斯旗</t>
  </si>
  <si>
    <t>廖传兰</t>
  </si>
  <si>
    <t>何昂</t>
  </si>
  <si>
    <t>刘宇</t>
  </si>
  <si>
    <t>赵雯慧</t>
  </si>
  <si>
    <t>O4.5</t>
  </si>
  <si>
    <t>何中蔚</t>
  </si>
  <si>
    <t>王慧欣</t>
  </si>
  <si>
    <t>王小康</t>
  </si>
  <si>
    <t>张彪</t>
  </si>
  <si>
    <r>
      <rPr>
        <sz val="10"/>
        <color indexed="8"/>
        <rFont val="宋体"/>
        <charset val="134"/>
      </rPr>
      <t>O</t>
    </r>
    <r>
      <rPr>
        <sz val="10"/>
        <color indexed="8"/>
        <rFont val="宋体"/>
        <charset val="134"/>
      </rPr>
      <t>3</t>
    </r>
  </si>
  <si>
    <t>O3.5</t>
  </si>
  <si>
    <t>张永</t>
  </si>
  <si>
    <t>朱子晨</t>
  </si>
  <si>
    <t>岳仁强</t>
  </si>
  <si>
    <t>张志豪</t>
  </si>
  <si>
    <t>何晓彤</t>
  </si>
  <si>
    <t>郭一明</t>
  </si>
  <si>
    <t>朱乐瑶</t>
  </si>
  <si>
    <t>余尚洲</t>
  </si>
  <si>
    <t>郑文博</t>
  </si>
  <si>
    <t>N0.5</t>
  </si>
  <si>
    <t>李赛</t>
  </si>
  <si>
    <t>赵亮</t>
  </si>
  <si>
    <t>屈鑫</t>
  </si>
  <si>
    <t>王能</t>
  </si>
  <si>
    <t>宋宇婷</t>
  </si>
  <si>
    <t>季超</t>
  </si>
  <si>
    <t>李校元</t>
  </si>
  <si>
    <t>殷宏金</t>
  </si>
  <si>
    <t>陈露</t>
  </si>
  <si>
    <t>徐凯</t>
  </si>
  <si>
    <t>黄天文</t>
  </si>
  <si>
    <t>陈鑫楷</t>
  </si>
  <si>
    <t>张梦男</t>
  </si>
  <si>
    <t>方文慧</t>
  </si>
  <si>
    <t>李正乐</t>
  </si>
  <si>
    <t>高运胜</t>
  </si>
  <si>
    <t>刘淼鑫</t>
  </si>
  <si>
    <t>任国鑫</t>
  </si>
  <si>
    <t>司增杭</t>
  </si>
  <si>
    <t>杨怀龙</t>
  </si>
  <si>
    <t>许昌</t>
  </si>
  <si>
    <t>李锐</t>
  </si>
  <si>
    <t>CS8</t>
  </si>
  <si>
    <t>CO8</t>
  </si>
  <si>
    <t>王榆铭</t>
  </si>
  <si>
    <t>曾家辰</t>
  </si>
  <si>
    <t>陈永平</t>
  </si>
  <si>
    <t>王志伟</t>
  </si>
  <si>
    <t>刘鹏</t>
  </si>
  <si>
    <t>刘景超</t>
  </si>
  <si>
    <t>李培丞</t>
  </si>
  <si>
    <t>欧赵旺</t>
  </si>
  <si>
    <t>陈宏庆</t>
  </si>
  <si>
    <t>廖传霞</t>
  </si>
  <si>
    <t>曲嘉鷔</t>
  </si>
  <si>
    <t>潘燕</t>
  </si>
  <si>
    <t>甄齐齐</t>
  </si>
  <si>
    <t>陈冬冬</t>
  </si>
  <si>
    <t>刘雨琪</t>
  </si>
  <si>
    <t>张晨</t>
  </si>
  <si>
    <t>龙睿</t>
  </si>
  <si>
    <t>滁州</t>
  </si>
  <si>
    <t>范磊</t>
  </si>
  <si>
    <t>O1</t>
  </si>
  <si>
    <t>O5</t>
  </si>
  <si>
    <t>孙永芳</t>
  </si>
  <si>
    <t>武文秀</t>
  </si>
  <si>
    <t>钱勇</t>
  </si>
  <si>
    <t>余森</t>
  </si>
  <si>
    <t>谭耀祖</t>
  </si>
  <si>
    <t>蒋宏伟</t>
  </si>
  <si>
    <t>吴献之</t>
  </si>
  <si>
    <t>朱有明</t>
  </si>
  <si>
    <t>吴志豪</t>
  </si>
  <si>
    <t>李小涛</t>
  </si>
  <si>
    <t>詹诺凡</t>
  </si>
  <si>
    <t>钟达霖</t>
  </si>
  <si>
    <t>说明：1.通用考勤符号：出勤：√   休息：☆   迟到：D   早退：Z    病假：△   事假：○   旷工：×   工伤假：G   年休假：N   婚假：H    产假/陪产假：M    丧假：S   离职：L   出差：C   法定加班：F    育儿假：Y     居家办公：J      哺乳假：B</t>
  </si>
  <si>
    <t xml:space="preserve">      2.迟到、早退、睡岗以次为单位，其它以小时(h)单位。                  </t>
  </si>
  <si>
    <t xml:space="preserve">      3.实际考勤中单独打“√”代表正常8小时出勤，如有加班则在加班栏记录实际加班时间，其它考勤在符号后面记录具体时间。</t>
  </si>
  <si>
    <t xml:space="preserve">      4.考勤表中公休日用灰色底纹标记、法定假日用绿色底纹标记。</t>
  </si>
  <si>
    <t>江苏福拉特2026年6月考勤汇总表</t>
  </si>
  <si>
    <t>序号</t>
  </si>
  <si>
    <t>工号</t>
  </si>
  <si>
    <t>出差天数</t>
  </si>
  <si>
    <t>平时加班（小时）</t>
  </si>
  <si>
    <t>周末加班（小时）</t>
  </si>
  <si>
    <t>法定加班（小时）</t>
  </si>
  <si>
    <t>本应出勤（小时）</t>
  </si>
  <si>
    <t>实际出勤（小时）</t>
  </si>
  <si>
    <t>年休假（小时）</t>
  </si>
  <si>
    <t>年假剩余
（小时）</t>
  </si>
  <si>
    <t>病假（小时）</t>
  </si>
  <si>
    <t>事假（小时）</t>
  </si>
  <si>
    <t>哺乳假（小时）</t>
  </si>
  <si>
    <t>婚假（小时）</t>
  </si>
  <si>
    <t>产假（小时）</t>
  </si>
  <si>
    <t>丧假（小时）</t>
  </si>
  <si>
    <t>育儿假（小时）</t>
  </si>
  <si>
    <t>旷工（小时）</t>
  </si>
  <si>
    <t>6月份打卡异常明细表</t>
  </si>
  <si>
    <t>未打卡（次）</t>
  </si>
  <si>
    <t>未签到（次）</t>
  </si>
  <si>
    <t>未签退（次）</t>
  </si>
  <si>
    <t>迟到/早退10分钟以内（次）</t>
  </si>
  <si>
    <t>迟到/早退11-30分钟（次）</t>
  </si>
  <si>
    <t>迟到/早退30-120分钟（分钟）</t>
  </si>
  <si>
    <t>不在范围内打卡（次）</t>
  </si>
  <si>
    <t>绩效扣除分数</t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</si>
  <si>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.1上班不在范围内打卡</t>
    </r>
  </si>
  <si>
    <t>6.10上班未签到、6.24上班未签到</t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</si>
  <si>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.26迟到2分钟</t>
    </r>
  </si>
  <si>
    <t>6.14迟到5分钟、6.18迟到4分钟、6.22上班未签到、6.25迟到2分钟</t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</si>
  <si>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.22迟到18分钟</t>
    </r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</si>
  <si>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.8不在范围内打卡</t>
    </r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</si>
  <si>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.26下班未签退</t>
    </r>
  </si>
  <si>
    <t>6.10上班未签到</t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</si>
  <si>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.11上班未签到</t>
    </r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</si>
  <si>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.28迟到25分钟</t>
    </r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</si>
  <si>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.19迟到17分钟</t>
    </r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</si>
  <si>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.22迟到16分钟</t>
    </r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</si>
  <si>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.30下班未签退</t>
    </r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</si>
  <si>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.6下班不在范围内打卡</t>
    </r>
  </si>
  <si>
    <t>6.18下班未签退</t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</si>
  <si>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.6下班未签退</t>
    </r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</si>
  <si>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.30上班不在范围内打卡</t>
    </r>
  </si>
  <si>
    <t>6.18迟到7分钟、6.22迟到5分钟、6.26迟到5分钟、6.30不在范围内打卡</t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</si>
  <si>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.1下班不在范围内打卡</t>
    </r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</si>
  <si>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.5下班未签退</t>
    </r>
  </si>
  <si>
    <r>
      <rPr>
        <sz val="10"/>
        <color theme="1"/>
        <rFont val="新宋体"/>
        <charset val="134"/>
      </rPr>
      <t>6</t>
    </r>
    <r>
      <rPr>
        <sz val="10"/>
        <color theme="1"/>
        <rFont val="新宋体"/>
        <charset val="134"/>
      </rPr>
      <t>.15下班未签退</t>
    </r>
  </si>
  <si>
    <t>6.18下班未签退、6.19下班未签退、6.26下班未签退</t>
  </si>
  <si>
    <t>6.8迟到3分钟、6.11上班未签到、6.12迟到1分钟、6.15迟到18分钟、6.16迟到6分钟、6.17迟到5分钟、6.23迟到5分钟、6.29迟到5分钟、6.30迟到7分钟、6.30下班未签退</t>
  </si>
  <si>
    <t>6.10下班未签退</t>
  </si>
  <si>
    <t>6.12下班未签退、6.16下班未签退、6.23上班未签到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</si>
</sst>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4">
    <font>
      <sz val="11"/>
      <color theme="1"/>
      <name val="宋体"/>
      <charset val="134"/>
      <scheme val="minor"/>
    </font>
    <font>
      <sz val="20"/>
      <color theme="1"/>
      <name val="新宋体"/>
      <charset val="134"/>
    </font>
    <font>
      <sz val="10"/>
      <color theme="1"/>
      <name val="新宋体"/>
      <charset val="134"/>
    </font>
    <font>
      <sz val="10"/>
      <name val="新宋体"/>
      <charset val="134"/>
    </font>
    <font>
      <sz val="9.75"/>
      <color rgb="FF0F1115"/>
      <name val="Consolas"/>
      <charset val="134"/>
    </font>
    <font>
      <sz val="12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name val="宋体"/>
      <charset val="134"/>
      <scheme val="minor"/>
    </font>
    <font>
      <b/>
      <sz val="2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8"/>
      <name val="宋体"/>
      <charset val="134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9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26" fillId="11" borderId="10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12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>
      <alignment vertical="center"/>
    </xf>
  </cellStyleXfs>
  <cellXfs count="74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50" applyFont="1" applyFill="1" applyBorder="1" applyAlignment="1">
      <alignment horizontal="center" vertical="center"/>
    </xf>
    <xf numFmtId="0" fontId="2" fillId="2" borderId="2" xfId="5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2" borderId="2" xfId="50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49" applyFont="1" applyAlignment="1">
      <alignment vertical="center"/>
    </xf>
    <xf numFmtId="0" fontId="0" fillId="0" borderId="0" xfId="49" applyAlignment="1">
      <alignment horizontal="center" vertical="center"/>
    </xf>
    <xf numFmtId="0" fontId="6" fillId="0" borderId="0" xfId="49" applyFont="1" applyAlignment="1">
      <alignment horizontal="center" vertical="center"/>
    </xf>
    <xf numFmtId="176" fontId="6" fillId="0" borderId="0" xfId="49" applyNumberFormat="1" applyFont="1" applyFill="1" applyAlignment="1">
      <alignment vertical="center"/>
    </xf>
    <xf numFmtId="0" fontId="0" fillId="0" borderId="2" xfId="49" applyBorder="1" applyAlignment="1">
      <alignment horizontal="center" vertical="center"/>
    </xf>
    <xf numFmtId="0" fontId="7" fillId="2" borderId="2" xfId="49" applyFont="1" applyFill="1" applyBorder="1" applyAlignment="1">
      <alignment horizontal="center" vertical="center"/>
    </xf>
    <xf numFmtId="0" fontId="8" fillId="2" borderId="2" xfId="49" applyFont="1" applyFill="1" applyBorder="1" applyAlignment="1">
      <alignment horizontal="center" vertical="center" wrapText="1"/>
    </xf>
    <xf numFmtId="176" fontId="5" fillId="0" borderId="0" xfId="49" applyNumberFormat="1" applyFont="1" applyFill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/>
    <xf numFmtId="0" fontId="10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15" fillId="0" borderId="2" xfId="0" applyNumberFormat="1" applyFont="1" applyFill="1" applyBorder="1" applyAlignment="1" applyProtection="1">
      <alignment horizontal="center" vertical="center"/>
    </xf>
    <xf numFmtId="0" fontId="15" fillId="6" borderId="2" xfId="0" applyNumberFormat="1" applyFont="1" applyFill="1" applyBorder="1" applyAlignment="1" applyProtection="1">
      <alignment horizontal="center" vertical="center"/>
    </xf>
    <xf numFmtId="0" fontId="15" fillId="7" borderId="2" xfId="0" applyNumberFormat="1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5" fillId="8" borderId="2" xfId="0" applyNumberFormat="1" applyFont="1" applyFill="1" applyBorder="1" applyAlignment="1" applyProtection="1">
      <alignment horizontal="center" vertical="center"/>
    </xf>
    <xf numFmtId="0" fontId="15" fillId="8" borderId="3" xfId="0" applyNumberFormat="1" applyFont="1" applyFill="1" applyBorder="1" applyAlignment="1" applyProtection="1">
      <alignment horizontal="center" vertical="center" wrapText="1"/>
    </xf>
    <xf numFmtId="0" fontId="7" fillId="8" borderId="3" xfId="0" applyNumberFormat="1" applyFont="1" applyFill="1" applyBorder="1" applyAlignment="1" applyProtection="1">
      <alignment horizontal="center" vertical="center" wrapText="1"/>
    </xf>
    <xf numFmtId="0" fontId="7" fillId="8" borderId="3" xfId="0" applyNumberFormat="1" applyFont="1" applyFill="1" applyBorder="1" applyAlignment="1" applyProtection="1">
      <alignment horizontal="center" vertical="center"/>
    </xf>
    <xf numFmtId="0" fontId="15" fillId="8" borderId="3" xfId="0" applyNumberFormat="1" applyFont="1" applyFill="1" applyBorder="1" applyAlignment="1" applyProtection="1">
      <alignment horizontal="center" vertical="center"/>
    </xf>
    <xf numFmtId="176" fontId="15" fillId="8" borderId="3" xfId="0" applyNumberFormat="1" applyFont="1" applyFill="1" applyBorder="1" applyAlignment="1" applyProtection="1">
      <alignment horizontal="center" vertical="center"/>
    </xf>
    <xf numFmtId="0" fontId="15" fillId="8" borderId="4" xfId="0" applyNumberFormat="1" applyFont="1" applyFill="1" applyBorder="1" applyAlignment="1" applyProtection="1">
      <alignment horizontal="center" vertical="center" wrapText="1"/>
    </xf>
    <xf numFmtId="0" fontId="7" fillId="8" borderId="4" xfId="0" applyNumberFormat="1" applyFont="1" applyFill="1" applyBorder="1" applyAlignment="1" applyProtection="1">
      <alignment horizontal="center" vertical="center" wrapText="1"/>
    </xf>
    <xf numFmtId="0" fontId="7" fillId="8" borderId="4" xfId="0" applyNumberFormat="1" applyFont="1" applyFill="1" applyBorder="1" applyAlignment="1" applyProtection="1">
      <alignment horizontal="center" vertical="center"/>
    </xf>
    <xf numFmtId="0" fontId="15" fillId="8" borderId="4" xfId="0" applyNumberFormat="1" applyFont="1" applyFill="1" applyBorder="1" applyAlignment="1" applyProtection="1">
      <alignment horizontal="center" vertical="center"/>
    </xf>
    <xf numFmtId="176" fontId="15" fillId="8" borderId="4" xfId="0" applyNumberFormat="1" applyFont="1" applyFill="1" applyBorder="1" applyAlignment="1" applyProtection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5" fillId="0" borderId="2" xfId="0" applyNumberFormat="1" applyFont="1" applyFill="1" applyBorder="1" applyAlignment="1" applyProtection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1" fillId="2" borderId="5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74"/>
  <sheetViews>
    <sheetView tabSelected="1" workbookViewId="0">
      <selection activeCell="L19" sqref="L19"/>
    </sheetView>
  </sheetViews>
  <sheetFormatPr defaultColWidth="9" defaultRowHeight="14.4"/>
  <cols>
    <col min="1" max="1" width="4.12962962962963" style="25" customWidth="1"/>
    <col min="2" max="2" width="4.37962962962963" style="25" customWidth="1"/>
    <col min="3" max="3" width="6.75" style="24" customWidth="1"/>
    <col min="4" max="4" width="4.25" style="24" customWidth="1"/>
    <col min="5" max="7" width="4.37962962962963" style="24" customWidth="1"/>
    <col min="8" max="8" width="5.37962962962963" style="24" customWidth="1"/>
    <col min="9" max="34" width="4.37962962962963" style="24" customWidth="1"/>
    <col min="35" max="35" width="4.12962962962963" style="24" customWidth="1"/>
    <col min="36" max="36" width="5.37962962962963" style="26" customWidth="1"/>
    <col min="37" max="37" width="4.5" style="26" customWidth="1"/>
    <col min="38" max="38" width="4.37962962962963" style="24" customWidth="1"/>
    <col min="39" max="39" width="5.75" style="24" customWidth="1"/>
    <col min="40" max="40" width="5.37962962962963" style="24" customWidth="1"/>
    <col min="41" max="41" width="5.25" style="24" customWidth="1"/>
    <col min="42" max="42" width="6.5" style="24" customWidth="1"/>
    <col min="43" max="43" width="4.62962962962963" style="24" customWidth="1"/>
    <col min="44" max="44" width="7.12962962962963" style="27" customWidth="1"/>
    <col min="45" max="46" width="4.62962962962963" style="27" customWidth="1"/>
    <col min="47" max="47" width="5.12962962962963" style="27" customWidth="1"/>
    <col min="48" max="52" width="4.62962962962963" style="27" customWidth="1"/>
    <col min="53" max="16384" width="9" style="24"/>
  </cols>
  <sheetData>
    <row r="1" s="24" customFormat="1" ht="25.8" spans="1:52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</row>
    <row r="2" s="24" customFormat="1" ht="20.25" customHeight="1" spans="1:52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1"/>
      <c r="AB2" s="30"/>
      <c r="AC2" s="30"/>
      <c r="AD2" s="30"/>
      <c r="AE2" s="30"/>
      <c r="AF2" s="30"/>
      <c r="AG2" s="30"/>
      <c r="AH2" s="30"/>
      <c r="AI2" s="30"/>
      <c r="AJ2" s="32"/>
      <c r="AK2" s="32"/>
      <c r="AL2" s="33"/>
      <c r="AM2" s="33"/>
      <c r="AN2" s="33"/>
      <c r="AO2" s="33"/>
      <c r="AP2" s="33"/>
      <c r="AQ2" s="33"/>
      <c r="AR2" s="33"/>
      <c r="AS2" s="33"/>
      <c r="AT2" s="33"/>
      <c r="AU2" s="34"/>
      <c r="AV2" s="33"/>
      <c r="AW2" s="33"/>
      <c r="AX2" s="33"/>
      <c r="AY2" s="33"/>
      <c r="AZ2" s="33"/>
    </row>
    <row r="3" s="24" customFormat="1" ht="21" customHeight="1" spans="1:52">
      <c r="A3" s="35" t="s">
        <v>2</v>
      </c>
      <c r="B3" s="35" t="s">
        <v>3</v>
      </c>
      <c r="C3" s="36" t="s">
        <v>4</v>
      </c>
      <c r="D3" s="37" t="s">
        <v>5</v>
      </c>
      <c r="E3" s="38">
        <v>1</v>
      </c>
      <c r="F3" s="38">
        <v>2</v>
      </c>
      <c r="G3" s="38">
        <v>3</v>
      </c>
      <c r="H3" s="38">
        <v>4</v>
      </c>
      <c r="I3" s="38">
        <v>5</v>
      </c>
      <c r="J3" s="39">
        <v>6</v>
      </c>
      <c r="K3" s="39">
        <v>7</v>
      </c>
      <c r="L3" s="38">
        <v>8</v>
      </c>
      <c r="M3" s="38">
        <v>9</v>
      </c>
      <c r="N3" s="38">
        <v>10</v>
      </c>
      <c r="O3" s="38">
        <v>11</v>
      </c>
      <c r="P3" s="38">
        <v>12</v>
      </c>
      <c r="Q3" s="39">
        <v>13</v>
      </c>
      <c r="R3" s="39">
        <v>14</v>
      </c>
      <c r="S3" s="38">
        <v>15</v>
      </c>
      <c r="T3" s="38">
        <v>16</v>
      </c>
      <c r="U3" s="38">
        <v>17</v>
      </c>
      <c r="V3" s="38">
        <v>18</v>
      </c>
      <c r="W3" s="40">
        <v>19</v>
      </c>
      <c r="X3" s="39">
        <v>20</v>
      </c>
      <c r="Y3" s="39">
        <v>21</v>
      </c>
      <c r="Z3" s="38">
        <v>22</v>
      </c>
      <c r="AA3" s="38">
        <v>23</v>
      </c>
      <c r="AB3" s="38">
        <v>24</v>
      </c>
      <c r="AC3" s="38">
        <v>25</v>
      </c>
      <c r="AD3" s="38">
        <v>26</v>
      </c>
      <c r="AE3" s="39">
        <v>27</v>
      </c>
      <c r="AF3" s="39">
        <v>28</v>
      </c>
      <c r="AG3" s="38">
        <v>29</v>
      </c>
      <c r="AH3" s="38">
        <v>30</v>
      </c>
      <c r="AI3" s="41" t="s">
        <v>6</v>
      </c>
      <c r="AJ3" s="41" t="s">
        <v>7</v>
      </c>
      <c r="AK3" s="41" t="s">
        <v>8</v>
      </c>
      <c r="AL3" s="41" t="s">
        <v>9</v>
      </c>
      <c r="AM3" s="41" t="s">
        <v>10</v>
      </c>
      <c r="AN3" s="41" t="s">
        <v>11</v>
      </c>
      <c r="AO3" s="41" t="s">
        <v>12</v>
      </c>
      <c r="AP3" s="41" t="s">
        <v>13</v>
      </c>
      <c r="AQ3" s="41" t="s">
        <v>14</v>
      </c>
      <c r="AR3" s="41" t="s">
        <v>15</v>
      </c>
      <c r="AS3" s="41" t="s">
        <v>16</v>
      </c>
      <c r="AT3" s="41" t="s">
        <v>17</v>
      </c>
      <c r="AU3" s="41" t="s">
        <v>18</v>
      </c>
      <c r="AV3" s="41" t="s">
        <v>19</v>
      </c>
      <c r="AW3" s="41" t="s">
        <v>20</v>
      </c>
      <c r="AX3" s="41" t="s">
        <v>21</v>
      </c>
      <c r="AY3" s="41" t="s">
        <v>22</v>
      </c>
      <c r="AZ3" s="41" t="s">
        <v>23</v>
      </c>
    </row>
    <row r="4" s="24" customFormat="1" ht="21" customHeight="1" spans="1:52">
      <c r="A4" s="42"/>
      <c r="B4" s="43"/>
      <c r="C4" s="42"/>
      <c r="D4" s="37" t="s">
        <v>24</v>
      </c>
      <c r="E4" s="44" t="s">
        <v>25</v>
      </c>
      <c r="F4" s="44" t="s">
        <v>26</v>
      </c>
      <c r="G4" s="44" t="s">
        <v>27</v>
      </c>
      <c r="H4" s="44" t="s">
        <v>28</v>
      </c>
      <c r="I4" s="44" t="s">
        <v>29</v>
      </c>
      <c r="J4" s="45" t="s">
        <v>30</v>
      </c>
      <c r="K4" s="45" t="s">
        <v>31</v>
      </c>
      <c r="L4" s="44" t="s">
        <v>25</v>
      </c>
      <c r="M4" s="44" t="s">
        <v>26</v>
      </c>
      <c r="N4" s="44" t="s">
        <v>27</v>
      </c>
      <c r="O4" s="44" t="s">
        <v>28</v>
      </c>
      <c r="P4" s="44" t="s">
        <v>29</v>
      </c>
      <c r="Q4" s="45" t="s">
        <v>30</v>
      </c>
      <c r="R4" s="45" t="s">
        <v>31</v>
      </c>
      <c r="S4" s="44" t="s">
        <v>25</v>
      </c>
      <c r="T4" s="44" t="s">
        <v>26</v>
      </c>
      <c r="U4" s="44" t="s">
        <v>27</v>
      </c>
      <c r="V4" s="44" t="s">
        <v>28</v>
      </c>
      <c r="W4" s="46" t="s">
        <v>29</v>
      </c>
      <c r="X4" s="45" t="s">
        <v>30</v>
      </c>
      <c r="Y4" s="45" t="s">
        <v>31</v>
      </c>
      <c r="Z4" s="44" t="s">
        <v>25</v>
      </c>
      <c r="AA4" s="44" t="s">
        <v>26</v>
      </c>
      <c r="AB4" s="44" t="s">
        <v>27</v>
      </c>
      <c r="AC4" s="44" t="s">
        <v>28</v>
      </c>
      <c r="AD4" s="44" t="s">
        <v>29</v>
      </c>
      <c r="AE4" s="45" t="s">
        <v>30</v>
      </c>
      <c r="AF4" s="45" t="s">
        <v>31</v>
      </c>
      <c r="AG4" s="44" t="s">
        <v>25</v>
      </c>
      <c r="AH4" s="44" t="s">
        <v>26</v>
      </c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</row>
    <row r="5" s="24" customFormat="1" ht="21" customHeight="1" spans="1:52">
      <c r="A5" s="36">
        <v>1</v>
      </c>
      <c r="B5" s="35" t="s">
        <v>32</v>
      </c>
      <c r="C5" s="36" t="s">
        <v>33</v>
      </c>
      <c r="D5" s="37" t="s">
        <v>34</v>
      </c>
      <c r="E5" s="44" t="s">
        <v>35</v>
      </c>
      <c r="F5" s="44" t="s">
        <v>35</v>
      </c>
      <c r="G5" s="44" t="s">
        <v>35</v>
      </c>
      <c r="H5" s="44" t="s">
        <v>35</v>
      </c>
      <c r="I5" s="44" t="s">
        <v>35</v>
      </c>
      <c r="J5" s="39" t="s">
        <v>36</v>
      </c>
      <c r="K5" s="39" t="s">
        <v>36</v>
      </c>
      <c r="L5" s="44" t="s">
        <v>35</v>
      </c>
      <c r="M5" s="44" t="s">
        <v>35</v>
      </c>
      <c r="N5" s="44" t="s">
        <v>35</v>
      </c>
      <c r="O5" s="44" t="s">
        <v>35</v>
      </c>
      <c r="P5" s="44" t="s">
        <v>35</v>
      </c>
      <c r="Q5" s="39" t="s">
        <v>36</v>
      </c>
      <c r="R5" s="39" t="s">
        <v>36</v>
      </c>
      <c r="S5" s="44" t="s">
        <v>35</v>
      </c>
      <c r="T5" s="44" t="s">
        <v>35</v>
      </c>
      <c r="U5" s="44" t="s">
        <v>35</v>
      </c>
      <c r="V5" s="44" t="s">
        <v>35</v>
      </c>
      <c r="W5" s="40" t="s">
        <v>36</v>
      </c>
      <c r="X5" s="39" t="s">
        <v>36</v>
      </c>
      <c r="Y5" s="39" t="s">
        <v>36</v>
      </c>
      <c r="Z5" s="44" t="s">
        <v>35</v>
      </c>
      <c r="AA5" s="44" t="s">
        <v>35</v>
      </c>
      <c r="AB5" s="44" t="s">
        <v>35</v>
      </c>
      <c r="AC5" s="44" t="s">
        <v>35</v>
      </c>
      <c r="AD5" s="44" t="s">
        <v>35</v>
      </c>
      <c r="AE5" s="39" t="s">
        <v>36</v>
      </c>
      <c r="AF5" s="39" t="s">
        <v>36</v>
      </c>
      <c r="AG5" s="44" t="s">
        <v>35</v>
      </c>
      <c r="AH5" s="44" t="s">
        <v>35</v>
      </c>
      <c r="AI5" s="37">
        <v>0</v>
      </c>
      <c r="AJ5" s="35">
        <f t="shared" ref="AJ5:AJ9" si="0">AI5+AI6</f>
        <v>0</v>
      </c>
      <c r="AK5" s="35">
        <v>0</v>
      </c>
      <c r="AL5" s="35">
        <f t="shared" ref="AL5:AL9" si="1">E6+F6+G6+H6+I6+L6+M6+N6+O6+P6+S6+T6+U6+V6+Z6+AA6+AB6+AC6+AD6+AG6+AH6</f>
        <v>0</v>
      </c>
      <c r="AM5" s="36">
        <f t="shared" ref="AM5:AM9" si="2">J6+K6+Q6+R6+X6+Y6+AE6+AF6</f>
        <v>0</v>
      </c>
      <c r="AN5" s="36">
        <f t="shared" ref="AN5:AN9" si="3">W6</f>
        <v>0</v>
      </c>
      <c r="AO5" s="36">
        <f t="shared" ref="AO5:AO9" si="4">21*8</f>
        <v>168</v>
      </c>
      <c r="AP5" s="36">
        <f t="shared" ref="AP5:AP9" si="5">AL5+AM5+AN5+AO5-AQ5-AS5-AT5-AV5-AW5-AX5-AY5-AZ5-AU5</f>
        <v>168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0</v>
      </c>
      <c r="AW5" s="36">
        <v>0</v>
      </c>
      <c r="AX5" s="36">
        <v>0</v>
      </c>
      <c r="AY5" s="36">
        <v>0</v>
      </c>
      <c r="AZ5" s="36">
        <v>0</v>
      </c>
    </row>
    <row r="6" s="24" customFormat="1" ht="21" customHeight="1" spans="1:52">
      <c r="A6" s="42"/>
      <c r="B6" s="43"/>
      <c r="C6" s="42"/>
      <c r="D6" s="37" t="s">
        <v>37</v>
      </c>
      <c r="E6" s="38"/>
      <c r="F6" s="38"/>
      <c r="G6" s="38"/>
      <c r="H6" s="38"/>
      <c r="I6" s="38"/>
      <c r="J6" s="39"/>
      <c r="K6" s="39"/>
      <c r="L6" s="38"/>
      <c r="M6" s="38"/>
      <c r="N6" s="38"/>
      <c r="O6" s="38"/>
      <c r="P6" s="38"/>
      <c r="Q6" s="39"/>
      <c r="R6" s="39"/>
      <c r="S6" s="38"/>
      <c r="T6" s="38"/>
      <c r="U6" s="38"/>
      <c r="V6" s="38"/>
      <c r="W6" s="40"/>
      <c r="X6" s="39"/>
      <c r="Y6" s="39"/>
      <c r="Z6" s="38"/>
      <c r="AA6" s="38"/>
      <c r="AB6" s="38"/>
      <c r="AC6" s="38"/>
      <c r="AD6" s="38"/>
      <c r="AE6" s="39"/>
      <c r="AF6" s="39"/>
      <c r="AG6" s="38"/>
      <c r="AH6" s="38"/>
      <c r="AI6" s="37">
        <v>0</v>
      </c>
      <c r="AJ6" s="43"/>
      <c r="AK6" s="43"/>
      <c r="AL6" s="43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</row>
    <row r="7" s="24" customFormat="1" ht="21" customHeight="1" spans="1:52">
      <c r="A7" s="36">
        <v>2</v>
      </c>
      <c r="B7" s="35" t="s">
        <v>32</v>
      </c>
      <c r="C7" s="36" t="s">
        <v>38</v>
      </c>
      <c r="D7" s="37" t="s">
        <v>34</v>
      </c>
      <c r="E7" s="44" t="s">
        <v>35</v>
      </c>
      <c r="F7" s="44" t="s">
        <v>35</v>
      </c>
      <c r="G7" s="44" t="s">
        <v>35</v>
      </c>
      <c r="H7" s="44" t="s">
        <v>35</v>
      </c>
      <c r="I7" s="44" t="s">
        <v>35</v>
      </c>
      <c r="J7" s="39" t="s">
        <v>36</v>
      </c>
      <c r="K7" s="39" t="s">
        <v>36</v>
      </c>
      <c r="L7" s="44" t="s">
        <v>35</v>
      </c>
      <c r="M7" s="44" t="s">
        <v>35</v>
      </c>
      <c r="N7" s="44" t="s">
        <v>35</v>
      </c>
      <c r="O7" s="44" t="s">
        <v>35</v>
      </c>
      <c r="P7" s="44" t="s">
        <v>35</v>
      </c>
      <c r="Q7" s="39"/>
      <c r="R7" s="39" t="s">
        <v>36</v>
      </c>
      <c r="S7" s="44" t="s">
        <v>35</v>
      </c>
      <c r="T7" s="44" t="s">
        <v>35</v>
      </c>
      <c r="U7" s="44" t="s">
        <v>35</v>
      </c>
      <c r="V7" s="44" t="s">
        <v>35</v>
      </c>
      <c r="W7" s="40" t="s">
        <v>36</v>
      </c>
      <c r="X7" s="39" t="s">
        <v>36</v>
      </c>
      <c r="Y7" s="39" t="s">
        <v>36</v>
      </c>
      <c r="Z7" s="44" t="s">
        <v>35</v>
      </c>
      <c r="AA7" s="44" t="s">
        <v>35</v>
      </c>
      <c r="AB7" s="44" t="s">
        <v>35</v>
      </c>
      <c r="AC7" s="44" t="s">
        <v>39</v>
      </c>
      <c r="AD7" s="44" t="s">
        <v>39</v>
      </c>
      <c r="AE7" s="39" t="s">
        <v>39</v>
      </c>
      <c r="AF7" s="39" t="s">
        <v>36</v>
      </c>
      <c r="AG7" s="44" t="s">
        <v>35</v>
      </c>
      <c r="AH7" s="44" t="s">
        <v>35</v>
      </c>
      <c r="AI7" s="37">
        <v>19</v>
      </c>
      <c r="AJ7" s="35">
        <f t="shared" si="0"/>
        <v>32</v>
      </c>
      <c r="AK7" s="35">
        <v>3</v>
      </c>
      <c r="AL7" s="35">
        <f t="shared" si="1"/>
        <v>26</v>
      </c>
      <c r="AM7" s="36">
        <f t="shared" si="2"/>
        <v>16</v>
      </c>
      <c r="AN7" s="36">
        <f t="shared" si="3"/>
        <v>0</v>
      </c>
      <c r="AO7" s="36">
        <f t="shared" si="4"/>
        <v>168</v>
      </c>
      <c r="AP7" s="36">
        <f t="shared" si="5"/>
        <v>210</v>
      </c>
      <c r="AQ7" s="36">
        <v>0</v>
      </c>
      <c r="AR7" s="36">
        <v>76.5</v>
      </c>
      <c r="AS7" s="36">
        <v>0</v>
      </c>
      <c r="AT7" s="36">
        <v>0</v>
      </c>
      <c r="AU7" s="36">
        <v>0</v>
      </c>
      <c r="AV7" s="36">
        <v>0</v>
      </c>
      <c r="AW7" s="36">
        <v>0</v>
      </c>
      <c r="AX7" s="36">
        <v>0</v>
      </c>
      <c r="AY7" s="36">
        <v>0</v>
      </c>
      <c r="AZ7" s="36">
        <v>0</v>
      </c>
    </row>
    <row r="8" s="24" customFormat="1" ht="21" customHeight="1" spans="1:52">
      <c r="A8" s="42"/>
      <c r="B8" s="43"/>
      <c r="C8" s="42"/>
      <c r="D8" s="37" t="s">
        <v>37</v>
      </c>
      <c r="E8" s="38">
        <v>1</v>
      </c>
      <c r="F8" s="38">
        <v>1</v>
      </c>
      <c r="G8" s="38">
        <v>1</v>
      </c>
      <c r="H8" s="38">
        <v>1.5</v>
      </c>
      <c r="I8" s="38"/>
      <c r="J8" s="39"/>
      <c r="K8" s="39"/>
      <c r="L8" s="38">
        <v>1</v>
      </c>
      <c r="M8" s="38">
        <v>2</v>
      </c>
      <c r="N8" s="38">
        <v>2</v>
      </c>
      <c r="O8" s="38">
        <v>1.5</v>
      </c>
      <c r="P8" s="38">
        <v>1.5</v>
      </c>
      <c r="Q8" s="39">
        <v>8</v>
      </c>
      <c r="R8" s="39"/>
      <c r="S8" s="38">
        <v>1.5</v>
      </c>
      <c r="T8" s="38"/>
      <c r="U8" s="38">
        <v>1.5</v>
      </c>
      <c r="V8" s="38"/>
      <c r="W8" s="40"/>
      <c r="X8" s="39"/>
      <c r="Y8" s="39"/>
      <c r="Z8" s="38">
        <v>1.5</v>
      </c>
      <c r="AA8" s="38">
        <v>1.5</v>
      </c>
      <c r="AB8" s="38">
        <v>2</v>
      </c>
      <c r="AC8" s="38"/>
      <c r="AD8" s="38">
        <v>2.5</v>
      </c>
      <c r="AE8" s="39">
        <v>8</v>
      </c>
      <c r="AF8" s="39"/>
      <c r="AG8" s="38">
        <v>1.5</v>
      </c>
      <c r="AH8" s="38">
        <v>1.5</v>
      </c>
      <c r="AI8" s="37">
        <v>13</v>
      </c>
      <c r="AJ8" s="43"/>
      <c r="AK8" s="43"/>
      <c r="AL8" s="43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</row>
    <row r="9" s="24" customFormat="1" ht="22.5" customHeight="1" spans="1:52">
      <c r="A9" s="36">
        <v>3</v>
      </c>
      <c r="B9" s="35" t="s">
        <v>40</v>
      </c>
      <c r="C9" s="36" t="s">
        <v>41</v>
      </c>
      <c r="D9" s="37" t="s">
        <v>34</v>
      </c>
      <c r="E9" s="44" t="s">
        <v>39</v>
      </c>
      <c r="F9" s="44" t="s">
        <v>39</v>
      </c>
      <c r="G9" s="44" t="s">
        <v>39</v>
      </c>
      <c r="H9" s="44" t="s">
        <v>39</v>
      </c>
      <c r="I9" s="44" t="s">
        <v>39</v>
      </c>
      <c r="J9" s="39" t="s">
        <v>39</v>
      </c>
      <c r="K9" s="39" t="s">
        <v>39</v>
      </c>
      <c r="L9" s="44" t="s">
        <v>39</v>
      </c>
      <c r="M9" s="44" t="s">
        <v>39</v>
      </c>
      <c r="N9" s="44" t="s">
        <v>39</v>
      </c>
      <c r="O9" s="44" t="s">
        <v>39</v>
      </c>
      <c r="P9" s="44" t="s">
        <v>39</v>
      </c>
      <c r="Q9" s="39" t="s">
        <v>36</v>
      </c>
      <c r="R9" s="39" t="s">
        <v>36</v>
      </c>
      <c r="S9" s="44" t="s">
        <v>35</v>
      </c>
      <c r="T9" s="44" t="s">
        <v>35</v>
      </c>
      <c r="U9" s="44" t="s">
        <v>35</v>
      </c>
      <c r="V9" s="44" t="s">
        <v>35</v>
      </c>
      <c r="W9" s="40" t="s">
        <v>36</v>
      </c>
      <c r="X9" s="39" t="s">
        <v>36</v>
      </c>
      <c r="Y9" s="39" t="s">
        <v>36</v>
      </c>
      <c r="Z9" s="44" t="s">
        <v>35</v>
      </c>
      <c r="AA9" s="44" t="s">
        <v>35</v>
      </c>
      <c r="AB9" s="44" t="s">
        <v>35</v>
      </c>
      <c r="AC9" s="44" t="s">
        <v>35</v>
      </c>
      <c r="AD9" s="44" t="s">
        <v>42</v>
      </c>
      <c r="AE9" s="39" t="s">
        <v>36</v>
      </c>
      <c r="AF9" s="39" t="s">
        <v>36</v>
      </c>
      <c r="AG9" s="44" t="s">
        <v>39</v>
      </c>
      <c r="AH9" s="44" t="s">
        <v>39</v>
      </c>
      <c r="AI9" s="37">
        <v>9</v>
      </c>
      <c r="AJ9" s="35">
        <f t="shared" si="0"/>
        <v>13</v>
      </c>
      <c r="AK9" s="35">
        <v>14</v>
      </c>
      <c r="AL9" s="35">
        <f t="shared" si="1"/>
        <v>37.5</v>
      </c>
      <c r="AM9" s="36">
        <f t="shared" si="2"/>
        <v>19.5</v>
      </c>
      <c r="AN9" s="36">
        <f t="shared" si="3"/>
        <v>0</v>
      </c>
      <c r="AO9" s="36">
        <f t="shared" si="4"/>
        <v>168</v>
      </c>
      <c r="AP9" s="36">
        <f t="shared" si="5"/>
        <v>220.5</v>
      </c>
      <c r="AQ9" s="36">
        <v>0</v>
      </c>
      <c r="AR9" s="36">
        <v>0</v>
      </c>
      <c r="AS9" s="36">
        <v>0</v>
      </c>
      <c r="AT9" s="36">
        <v>4.5</v>
      </c>
      <c r="AU9" s="36">
        <v>0</v>
      </c>
      <c r="AV9" s="36">
        <v>0</v>
      </c>
      <c r="AW9" s="36">
        <v>0</v>
      </c>
      <c r="AX9" s="36">
        <v>0</v>
      </c>
      <c r="AY9" s="36">
        <v>0</v>
      </c>
      <c r="AZ9" s="36">
        <v>0</v>
      </c>
    </row>
    <row r="10" s="24" customFormat="1" ht="21" customHeight="1" spans="1:52">
      <c r="A10" s="42"/>
      <c r="B10" s="43"/>
      <c r="C10" s="42"/>
      <c r="D10" s="37" t="s">
        <v>37</v>
      </c>
      <c r="E10" s="38">
        <v>3.5</v>
      </c>
      <c r="F10" s="38">
        <v>2.5</v>
      </c>
      <c r="G10" s="38">
        <v>3.5</v>
      </c>
      <c r="H10" s="38">
        <v>3.5</v>
      </c>
      <c r="I10" s="38">
        <v>2</v>
      </c>
      <c r="J10" s="39">
        <v>9.5</v>
      </c>
      <c r="K10" s="39">
        <v>10</v>
      </c>
      <c r="L10" s="38">
        <v>4</v>
      </c>
      <c r="M10" s="38">
        <v>2</v>
      </c>
      <c r="N10" s="38">
        <v>3.5</v>
      </c>
      <c r="O10" s="38">
        <v>2</v>
      </c>
      <c r="P10" s="38">
        <v>1.5</v>
      </c>
      <c r="Q10" s="39"/>
      <c r="R10" s="39"/>
      <c r="S10" s="38">
        <v>2.5</v>
      </c>
      <c r="T10" s="38"/>
      <c r="U10" s="38">
        <v>3</v>
      </c>
      <c r="V10" s="38">
        <v>1</v>
      </c>
      <c r="W10" s="40"/>
      <c r="X10" s="39"/>
      <c r="Y10" s="39"/>
      <c r="Z10" s="38"/>
      <c r="AA10" s="38"/>
      <c r="AB10" s="38">
        <v>2</v>
      </c>
      <c r="AC10" s="38"/>
      <c r="AD10" s="38"/>
      <c r="AE10" s="39"/>
      <c r="AF10" s="39"/>
      <c r="AG10" s="38"/>
      <c r="AH10" s="38">
        <v>1</v>
      </c>
      <c r="AI10" s="37">
        <v>4</v>
      </c>
      <c r="AJ10" s="43"/>
      <c r="AK10" s="43"/>
      <c r="AL10" s="43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</row>
    <row r="11" s="24" customFormat="1" ht="21.75" customHeight="1" spans="1:52">
      <c r="A11" s="36">
        <v>4</v>
      </c>
      <c r="B11" s="35" t="s">
        <v>32</v>
      </c>
      <c r="C11" s="36" t="s">
        <v>43</v>
      </c>
      <c r="D11" s="37" t="s">
        <v>34</v>
      </c>
      <c r="E11" s="44" t="s">
        <v>35</v>
      </c>
      <c r="F11" s="44" t="s">
        <v>35</v>
      </c>
      <c r="G11" s="44" t="s">
        <v>35</v>
      </c>
      <c r="H11" s="44" t="s">
        <v>35</v>
      </c>
      <c r="I11" s="44" t="s">
        <v>35</v>
      </c>
      <c r="J11" s="39"/>
      <c r="K11" s="39"/>
      <c r="L11" s="44" t="s">
        <v>35</v>
      </c>
      <c r="M11" s="44" t="s">
        <v>35</v>
      </c>
      <c r="N11" s="44" t="s">
        <v>35</v>
      </c>
      <c r="O11" s="44" t="s">
        <v>35</v>
      </c>
      <c r="P11" s="44" t="s">
        <v>35</v>
      </c>
      <c r="Q11" s="39" t="s">
        <v>36</v>
      </c>
      <c r="R11" s="39"/>
      <c r="S11" s="44" t="s">
        <v>35</v>
      </c>
      <c r="T11" s="44" t="s">
        <v>35</v>
      </c>
      <c r="U11" s="44" t="s">
        <v>35</v>
      </c>
      <c r="V11" s="44" t="s">
        <v>39</v>
      </c>
      <c r="W11" s="40" t="s">
        <v>36</v>
      </c>
      <c r="X11" s="39"/>
      <c r="Y11" s="39"/>
      <c r="Z11" s="44" t="s">
        <v>39</v>
      </c>
      <c r="AA11" s="44" t="s">
        <v>39</v>
      </c>
      <c r="AB11" s="44" t="s">
        <v>39</v>
      </c>
      <c r="AC11" s="44" t="s">
        <v>39</v>
      </c>
      <c r="AD11" s="44" t="s">
        <v>39</v>
      </c>
      <c r="AE11" s="39" t="s">
        <v>39</v>
      </c>
      <c r="AF11" s="39" t="s">
        <v>36</v>
      </c>
      <c r="AG11" s="44" t="s">
        <v>39</v>
      </c>
      <c r="AH11" s="44" t="s">
        <v>39</v>
      </c>
      <c r="AI11" s="48">
        <v>13</v>
      </c>
      <c r="AJ11" s="35">
        <f t="shared" ref="AJ11:AJ15" si="6">AI11+AI12</f>
        <v>27</v>
      </c>
      <c r="AK11" s="35">
        <v>9</v>
      </c>
      <c r="AL11" s="35">
        <f t="shared" ref="AL11:AL15" si="7">E12+F12+G12+H12+I12+L12+M12+N12+O12+P12+S12+T12+U12+V12+Z12+AA12+AB12+AC12+AD12+AG12+AH12</f>
        <v>26</v>
      </c>
      <c r="AM11" s="36">
        <f t="shared" ref="AM11:AM15" si="8">J12+K12+Q12+R12+X12+Y12+AE12+AF12</f>
        <v>55.5</v>
      </c>
      <c r="AN11" s="36">
        <f t="shared" ref="AN11:AN15" si="9">W12</f>
        <v>0</v>
      </c>
      <c r="AO11" s="36">
        <f t="shared" ref="AO11:AO15" si="10">21*8</f>
        <v>168</v>
      </c>
      <c r="AP11" s="36">
        <f t="shared" ref="AP11:AP15" si="11">AL11+AM11+AN11+AO11-AQ11-AS11-AT11-AV11-AW11-AX11-AY11-AZ11-AU11</f>
        <v>249.5</v>
      </c>
      <c r="AQ11" s="36">
        <v>0</v>
      </c>
      <c r="AR11" s="36">
        <v>104</v>
      </c>
      <c r="AS11" s="36">
        <v>0</v>
      </c>
      <c r="AT11" s="36">
        <v>0</v>
      </c>
      <c r="AU11" s="36">
        <v>0</v>
      </c>
      <c r="AV11" s="36">
        <v>0</v>
      </c>
      <c r="AW11" s="36">
        <v>0</v>
      </c>
      <c r="AX11" s="36">
        <v>0</v>
      </c>
      <c r="AY11" s="36">
        <v>0</v>
      </c>
      <c r="AZ11" s="36">
        <v>0</v>
      </c>
    </row>
    <row r="12" s="24" customFormat="1" ht="21" customHeight="1" spans="1:52">
      <c r="A12" s="42"/>
      <c r="B12" s="43"/>
      <c r="C12" s="42"/>
      <c r="D12" s="37" t="s">
        <v>37</v>
      </c>
      <c r="E12" s="38"/>
      <c r="F12" s="38"/>
      <c r="G12" s="38">
        <v>2.5</v>
      </c>
      <c r="H12" s="38"/>
      <c r="I12" s="38">
        <v>3</v>
      </c>
      <c r="J12" s="39">
        <v>9.5</v>
      </c>
      <c r="K12" s="39">
        <v>8</v>
      </c>
      <c r="L12" s="38">
        <v>4</v>
      </c>
      <c r="M12" s="38">
        <v>2.5</v>
      </c>
      <c r="N12" s="38"/>
      <c r="O12" s="38"/>
      <c r="P12" s="38"/>
      <c r="Q12" s="39"/>
      <c r="R12" s="39">
        <v>10</v>
      </c>
      <c r="S12" s="38"/>
      <c r="T12" s="38"/>
      <c r="U12" s="38">
        <v>1.5</v>
      </c>
      <c r="V12" s="38">
        <v>2</v>
      </c>
      <c r="W12" s="40"/>
      <c r="X12" s="39">
        <v>9.5</v>
      </c>
      <c r="Y12" s="39">
        <v>9</v>
      </c>
      <c r="Z12" s="38">
        <v>1</v>
      </c>
      <c r="AA12" s="38">
        <v>1.5</v>
      </c>
      <c r="AB12" s="38">
        <v>1.5</v>
      </c>
      <c r="AC12" s="38">
        <v>2</v>
      </c>
      <c r="AD12" s="38">
        <v>1.5</v>
      </c>
      <c r="AE12" s="39">
        <v>9.5</v>
      </c>
      <c r="AF12" s="39"/>
      <c r="AG12" s="38">
        <v>1.5</v>
      </c>
      <c r="AH12" s="38">
        <v>1.5</v>
      </c>
      <c r="AI12" s="37">
        <v>14</v>
      </c>
      <c r="AJ12" s="43"/>
      <c r="AK12" s="43"/>
      <c r="AL12" s="43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</row>
    <row r="13" s="24" customFormat="1" ht="21" customHeight="1" spans="1:52">
      <c r="A13" s="36">
        <v>5</v>
      </c>
      <c r="B13" s="35" t="s">
        <v>40</v>
      </c>
      <c r="C13" s="36" t="s">
        <v>44</v>
      </c>
      <c r="D13" s="37" t="s">
        <v>34</v>
      </c>
      <c r="E13" s="44" t="s">
        <v>39</v>
      </c>
      <c r="F13" s="44" t="s">
        <v>39</v>
      </c>
      <c r="G13" s="44" t="s">
        <v>39</v>
      </c>
      <c r="H13" s="44" t="s">
        <v>39</v>
      </c>
      <c r="I13" s="44" t="s">
        <v>39</v>
      </c>
      <c r="J13" s="39" t="s">
        <v>39</v>
      </c>
      <c r="K13" s="39" t="s">
        <v>39</v>
      </c>
      <c r="L13" s="44" t="s">
        <v>39</v>
      </c>
      <c r="M13" s="44" t="s">
        <v>39</v>
      </c>
      <c r="N13" s="44" t="s">
        <v>39</v>
      </c>
      <c r="O13" s="44" t="s">
        <v>39</v>
      </c>
      <c r="P13" s="44" t="s">
        <v>39</v>
      </c>
      <c r="Q13" s="39" t="s">
        <v>39</v>
      </c>
      <c r="R13" s="39" t="s">
        <v>39</v>
      </c>
      <c r="S13" s="44" t="s">
        <v>39</v>
      </c>
      <c r="T13" s="44" t="s">
        <v>39</v>
      </c>
      <c r="U13" s="44" t="s">
        <v>39</v>
      </c>
      <c r="V13" s="44" t="s">
        <v>39</v>
      </c>
      <c r="W13" s="40" t="s">
        <v>39</v>
      </c>
      <c r="X13" s="39" t="s">
        <v>39</v>
      </c>
      <c r="Y13" s="39" t="s">
        <v>39</v>
      </c>
      <c r="Z13" s="44" t="s">
        <v>39</v>
      </c>
      <c r="AA13" s="44" t="s">
        <v>39</v>
      </c>
      <c r="AB13" s="44" t="s">
        <v>39</v>
      </c>
      <c r="AC13" s="44" t="s">
        <v>39</v>
      </c>
      <c r="AD13" s="44" t="s">
        <v>39</v>
      </c>
      <c r="AE13" s="39" t="s">
        <v>39</v>
      </c>
      <c r="AF13" s="39" t="s">
        <v>39</v>
      </c>
      <c r="AG13" s="44" t="s">
        <v>39</v>
      </c>
      <c r="AH13" s="44" t="s">
        <v>39</v>
      </c>
      <c r="AI13" s="37">
        <v>0</v>
      </c>
      <c r="AJ13" s="35">
        <f t="shared" si="6"/>
        <v>0</v>
      </c>
      <c r="AK13" s="35">
        <v>30</v>
      </c>
      <c r="AL13" s="35">
        <f t="shared" si="7"/>
        <v>43.5</v>
      </c>
      <c r="AM13" s="36">
        <f t="shared" si="8"/>
        <v>52.5</v>
      </c>
      <c r="AN13" s="36">
        <f t="shared" si="9"/>
        <v>8</v>
      </c>
      <c r="AO13" s="36">
        <f t="shared" si="10"/>
        <v>168</v>
      </c>
      <c r="AP13" s="36">
        <f t="shared" si="11"/>
        <v>272</v>
      </c>
      <c r="AQ13" s="36">
        <v>0</v>
      </c>
      <c r="AR13" s="36">
        <v>59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</row>
    <row r="14" s="24" customFormat="1" ht="21" customHeight="1" spans="1:52">
      <c r="A14" s="42"/>
      <c r="B14" s="43"/>
      <c r="C14" s="42"/>
      <c r="D14" s="37" t="s">
        <v>37</v>
      </c>
      <c r="E14" s="38">
        <v>3</v>
      </c>
      <c r="F14" s="38">
        <v>4.5</v>
      </c>
      <c r="G14" s="38">
        <v>1</v>
      </c>
      <c r="H14" s="38">
        <v>6</v>
      </c>
      <c r="I14" s="38">
        <v>1.5</v>
      </c>
      <c r="J14" s="39">
        <v>11.5</v>
      </c>
      <c r="K14" s="39">
        <v>9.5</v>
      </c>
      <c r="L14" s="38">
        <v>5.5</v>
      </c>
      <c r="M14" s="38">
        <v>2.5</v>
      </c>
      <c r="N14" s="38"/>
      <c r="O14" s="38">
        <v>3</v>
      </c>
      <c r="P14" s="38">
        <v>2</v>
      </c>
      <c r="Q14" s="39">
        <v>9.5</v>
      </c>
      <c r="R14" s="39">
        <v>8.5</v>
      </c>
      <c r="S14" s="38">
        <v>1.5</v>
      </c>
      <c r="T14" s="38"/>
      <c r="U14" s="38">
        <v>3.5</v>
      </c>
      <c r="V14" s="38">
        <v>1.5</v>
      </c>
      <c r="W14" s="40">
        <v>8</v>
      </c>
      <c r="X14" s="39"/>
      <c r="Y14" s="39">
        <v>5</v>
      </c>
      <c r="Z14" s="38">
        <v>1</v>
      </c>
      <c r="AA14" s="38">
        <v>2</v>
      </c>
      <c r="AB14" s="38">
        <v>1.5</v>
      </c>
      <c r="AC14" s="38">
        <v>1</v>
      </c>
      <c r="AD14" s="38">
        <v>1.5</v>
      </c>
      <c r="AE14" s="39">
        <v>8.5</v>
      </c>
      <c r="AF14" s="39"/>
      <c r="AG14" s="38">
        <v>1</v>
      </c>
      <c r="AH14" s="38"/>
      <c r="AI14" s="37">
        <v>0</v>
      </c>
      <c r="AJ14" s="43"/>
      <c r="AK14" s="43"/>
      <c r="AL14" s="43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</row>
    <row r="15" s="24" customFormat="1" ht="21" customHeight="1" spans="1:52">
      <c r="A15" s="36">
        <v>6</v>
      </c>
      <c r="B15" s="35" t="s">
        <v>32</v>
      </c>
      <c r="C15" s="36" t="s">
        <v>45</v>
      </c>
      <c r="D15" s="37" t="s">
        <v>34</v>
      </c>
      <c r="E15" s="44" t="s">
        <v>35</v>
      </c>
      <c r="F15" s="44" t="s">
        <v>35</v>
      </c>
      <c r="G15" s="44" t="s">
        <v>35</v>
      </c>
      <c r="H15" s="44" t="s">
        <v>35</v>
      </c>
      <c r="I15" s="44" t="s">
        <v>35</v>
      </c>
      <c r="J15" s="39"/>
      <c r="K15" s="39" t="s">
        <v>36</v>
      </c>
      <c r="L15" s="44" t="s">
        <v>46</v>
      </c>
      <c r="M15" s="44" t="s">
        <v>35</v>
      </c>
      <c r="N15" s="44" t="s">
        <v>35</v>
      </c>
      <c r="O15" s="44" t="s">
        <v>35</v>
      </c>
      <c r="P15" s="44" t="s">
        <v>35</v>
      </c>
      <c r="Q15" s="39"/>
      <c r="R15" s="39" t="s">
        <v>36</v>
      </c>
      <c r="S15" s="44" t="s">
        <v>35</v>
      </c>
      <c r="T15" s="44" t="s">
        <v>35</v>
      </c>
      <c r="U15" s="44" t="s">
        <v>35</v>
      </c>
      <c r="V15" s="44" t="s">
        <v>35</v>
      </c>
      <c r="W15" s="40" t="s">
        <v>36</v>
      </c>
      <c r="X15" s="39" t="s">
        <v>36</v>
      </c>
      <c r="Y15" s="39" t="s">
        <v>36</v>
      </c>
      <c r="Z15" s="44" t="s">
        <v>35</v>
      </c>
      <c r="AA15" s="44" t="s">
        <v>47</v>
      </c>
      <c r="AB15" s="44" t="s">
        <v>35</v>
      </c>
      <c r="AC15" s="44" t="s">
        <v>35</v>
      </c>
      <c r="AD15" s="44" t="s">
        <v>35</v>
      </c>
      <c r="AE15" s="39"/>
      <c r="AF15" s="39" t="s">
        <v>36</v>
      </c>
      <c r="AG15" s="44" t="s">
        <v>35</v>
      </c>
      <c r="AH15" s="44" t="s">
        <v>35</v>
      </c>
      <c r="AI15" s="37">
        <v>21</v>
      </c>
      <c r="AJ15" s="35">
        <f t="shared" si="6"/>
        <v>38</v>
      </c>
      <c r="AK15" s="35">
        <v>0</v>
      </c>
      <c r="AL15" s="35">
        <f t="shared" si="7"/>
        <v>30</v>
      </c>
      <c r="AM15" s="36">
        <f t="shared" si="8"/>
        <v>19.5</v>
      </c>
      <c r="AN15" s="36">
        <f t="shared" si="9"/>
        <v>0</v>
      </c>
      <c r="AO15" s="36">
        <f t="shared" si="10"/>
        <v>168</v>
      </c>
      <c r="AP15" s="36">
        <f t="shared" si="11"/>
        <v>214.5</v>
      </c>
      <c r="AQ15" s="36">
        <v>3</v>
      </c>
      <c r="AR15" s="36">
        <f>66-AQ15</f>
        <v>63</v>
      </c>
      <c r="AS15" s="36">
        <v>0</v>
      </c>
      <c r="AT15" s="36">
        <v>0</v>
      </c>
      <c r="AU15" s="36">
        <v>0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</row>
    <row r="16" s="24" customFormat="1" ht="21" customHeight="1" spans="1:52">
      <c r="A16" s="42"/>
      <c r="B16" s="43"/>
      <c r="C16" s="42"/>
      <c r="D16" s="37" t="s">
        <v>37</v>
      </c>
      <c r="E16" s="38">
        <v>2</v>
      </c>
      <c r="F16" s="38"/>
      <c r="G16" s="38">
        <v>1.5</v>
      </c>
      <c r="H16" s="38">
        <v>1.5</v>
      </c>
      <c r="I16" s="38"/>
      <c r="J16" s="39">
        <v>8.5</v>
      </c>
      <c r="K16" s="39"/>
      <c r="L16" s="38">
        <v>2.5</v>
      </c>
      <c r="M16" s="38">
        <v>3.5</v>
      </c>
      <c r="N16" s="38"/>
      <c r="O16" s="38">
        <v>2</v>
      </c>
      <c r="P16" s="38"/>
      <c r="Q16" s="39">
        <v>6.5</v>
      </c>
      <c r="R16" s="39"/>
      <c r="S16" s="38">
        <v>2</v>
      </c>
      <c r="T16" s="38"/>
      <c r="U16" s="38">
        <v>2</v>
      </c>
      <c r="V16" s="38">
        <v>1.5</v>
      </c>
      <c r="W16" s="40"/>
      <c r="X16" s="39"/>
      <c r="Y16" s="39"/>
      <c r="Z16" s="38">
        <v>1.5</v>
      </c>
      <c r="AA16" s="38">
        <v>4</v>
      </c>
      <c r="AB16" s="38">
        <v>2</v>
      </c>
      <c r="AC16" s="38">
        <v>2.5</v>
      </c>
      <c r="AD16" s="38"/>
      <c r="AE16" s="39">
        <v>4.5</v>
      </c>
      <c r="AF16" s="39"/>
      <c r="AG16" s="38">
        <v>1.5</v>
      </c>
      <c r="AH16" s="38"/>
      <c r="AI16" s="37">
        <v>17</v>
      </c>
      <c r="AJ16" s="43"/>
      <c r="AK16" s="43"/>
      <c r="AL16" s="43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="24" customFormat="1" ht="24" customHeight="1" spans="1:52">
      <c r="A17" s="36">
        <v>7</v>
      </c>
      <c r="B17" s="35" t="s">
        <v>32</v>
      </c>
      <c r="C17" s="36" t="s">
        <v>48</v>
      </c>
      <c r="D17" s="37" t="s">
        <v>34</v>
      </c>
      <c r="E17" s="44" t="s">
        <v>35</v>
      </c>
      <c r="F17" s="44" t="s">
        <v>35</v>
      </c>
      <c r="G17" s="44" t="s">
        <v>35</v>
      </c>
      <c r="H17" s="44" t="s">
        <v>49</v>
      </c>
      <c r="I17" s="44" t="s">
        <v>35</v>
      </c>
      <c r="J17" s="39"/>
      <c r="K17" s="39"/>
      <c r="L17" s="44" t="s">
        <v>35</v>
      </c>
      <c r="M17" s="44" t="s">
        <v>35</v>
      </c>
      <c r="N17" s="44" t="s">
        <v>35</v>
      </c>
      <c r="O17" s="44" t="s">
        <v>35</v>
      </c>
      <c r="P17" s="44" t="s">
        <v>35</v>
      </c>
      <c r="Q17" s="39"/>
      <c r="R17" s="39" t="s">
        <v>36</v>
      </c>
      <c r="S17" s="44" t="s">
        <v>35</v>
      </c>
      <c r="T17" s="44" t="s">
        <v>42</v>
      </c>
      <c r="U17" s="44" t="s">
        <v>35</v>
      </c>
      <c r="V17" s="44" t="s">
        <v>50</v>
      </c>
      <c r="W17" s="40" t="s">
        <v>36</v>
      </c>
      <c r="X17" s="39" t="s">
        <v>36</v>
      </c>
      <c r="Y17" s="39" t="s">
        <v>36</v>
      </c>
      <c r="Z17" s="44" t="s">
        <v>51</v>
      </c>
      <c r="AA17" s="44" t="s">
        <v>51</v>
      </c>
      <c r="AB17" s="44" t="s">
        <v>51</v>
      </c>
      <c r="AC17" s="44" t="s">
        <v>51</v>
      </c>
      <c r="AD17" s="44" t="s">
        <v>51</v>
      </c>
      <c r="AE17" s="39" t="s">
        <v>52</v>
      </c>
      <c r="AF17" s="39" t="s">
        <v>52</v>
      </c>
      <c r="AG17" s="44" t="s">
        <v>51</v>
      </c>
      <c r="AH17" s="44" t="s">
        <v>51</v>
      </c>
      <c r="AI17" s="37">
        <v>12</v>
      </c>
      <c r="AJ17" s="35">
        <f t="shared" ref="AJ17:AJ21" si="12">AI17+AI18</f>
        <v>26</v>
      </c>
      <c r="AK17" s="35">
        <v>0</v>
      </c>
      <c r="AL17" s="35">
        <f t="shared" ref="AL17:AL21" si="13">E18+F18+G18+H18+I18+L18+M18+N18+O18+P18+S18+T18+U18+V18+Z18+AA18+AB18+AC18+AD18+AG18+AH18</f>
        <v>45</v>
      </c>
      <c r="AM17" s="36">
        <f t="shared" ref="AM17:AM21" si="14">J18+K18+Q18+R18+X18+Y18+AE18+AF18</f>
        <v>20.5</v>
      </c>
      <c r="AN17" s="36">
        <f t="shared" ref="AN17:AN21" si="15">W18</f>
        <v>0</v>
      </c>
      <c r="AO17" s="36">
        <f t="shared" ref="AO17:AO21" si="16">21*8</f>
        <v>168</v>
      </c>
      <c r="AP17" s="36">
        <f t="shared" ref="AP17:AP21" si="17">AL17+AM17+AN17+AO17-AQ17-AS17-AT17-AV17-AW17-AX17-AY17-AZ17-AU17</f>
        <v>161.5</v>
      </c>
      <c r="AQ17" s="36">
        <v>0</v>
      </c>
      <c r="AR17" s="36">
        <v>0</v>
      </c>
      <c r="AS17" s="36">
        <v>0</v>
      </c>
      <c r="AT17" s="36">
        <v>16</v>
      </c>
      <c r="AU17" s="36">
        <v>0</v>
      </c>
      <c r="AV17" s="36">
        <v>0</v>
      </c>
      <c r="AW17" s="36">
        <v>56</v>
      </c>
      <c r="AX17" s="36">
        <v>0</v>
      </c>
      <c r="AY17" s="36">
        <v>0</v>
      </c>
      <c r="AZ17" s="36">
        <v>0</v>
      </c>
    </row>
    <row r="18" s="24" customFormat="1" ht="21" customHeight="1" spans="1:52">
      <c r="A18" s="42"/>
      <c r="B18" s="43"/>
      <c r="C18" s="42"/>
      <c r="D18" s="37" t="s">
        <v>37</v>
      </c>
      <c r="E18" s="38">
        <v>3</v>
      </c>
      <c r="F18" s="38"/>
      <c r="G18" s="38">
        <v>4</v>
      </c>
      <c r="H18" s="38"/>
      <c r="I18" s="38">
        <v>2</v>
      </c>
      <c r="J18" s="39">
        <v>9</v>
      </c>
      <c r="K18" s="39">
        <v>4.5</v>
      </c>
      <c r="L18" s="38">
        <v>5</v>
      </c>
      <c r="M18" s="38">
        <v>6.5</v>
      </c>
      <c r="N18" s="38">
        <v>7</v>
      </c>
      <c r="O18" s="38">
        <v>3.5</v>
      </c>
      <c r="P18" s="38">
        <v>4.5</v>
      </c>
      <c r="Q18" s="39">
        <v>7</v>
      </c>
      <c r="R18" s="39"/>
      <c r="S18" s="38">
        <v>4.5</v>
      </c>
      <c r="T18" s="38"/>
      <c r="U18" s="38">
        <v>5</v>
      </c>
      <c r="V18" s="38"/>
      <c r="W18" s="40"/>
      <c r="X18" s="39"/>
      <c r="Y18" s="39"/>
      <c r="Z18" s="38"/>
      <c r="AA18" s="38"/>
      <c r="AB18" s="38"/>
      <c r="AC18" s="38"/>
      <c r="AD18" s="38"/>
      <c r="AE18" s="39"/>
      <c r="AF18" s="39"/>
      <c r="AG18" s="38"/>
      <c r="AH18" s="38"/>
      <c r="AI18" s="37">
        <v>14</v>
      </c>
      <c r="AJ18" s="43"/>
      <c r="AK18" s="43"/>
      <c r="AL18" s="43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</row>
    <row r="19" s="24" customFormat="1" ht="21" customHeight="1" spans="1:52">
      <c r="A19" s="36">
        <v>8</v>
      </c>
      <c r="B19" s="35" t="s">
        <v>40</v>
      </c>
      <c r="C19" s="36" t="s">
        <v>53</v>
      </c>
      <c r="D19" s="37" t="s">
        <v>34</v>
      </c>
      <c r="E19" s="44" t="s">
        <v>39</v>
      </c>
      <c r="F19" s="44" t="s">
        <v>39</v>
      </c>
      <c r="G19" s="44" t="s">
        <v>39</v>
      </c>
      <c r="H19" s="44" t="s">
        <v>39</v>
      </c>
      <c r="I19" s="44" t="s">
        <v>39</v>
      </c>
      <c r="J19" s="39" t="s">
        <v>39</v>
      </c>
      <c r="K19" s="39" t="s">
        <v>36</v>
      </c>
      <c r="L19" s="44" t="s">
        <v>54</v>
      </c>
      <c r="M19" s="44" t="s">
        <v>35</v>
      </c>
      <c r="N19" s="44" t="s">
        <v>35</v>
      </c>
      <c r="O19" s="44" t="s">
        <v>35</v>
      </c>
      <c r="P19" s="44" t="s">
        <v>54</v>
      </c>
      <c r="Q19" s="39" t="s">
        <v>36</v>
      </c>
      <c r="R19" s="39" t="s">
        <v>36</v>
      </c>
      <c r="S19" s="44" t="s">
        <v>35</v>
      </c>
      <c r="T19" s="44" t="s">
        <v>54</v>
      </c>
      <c r="U19" s="44" t="s">
        <v>35</v>
      </c>
      <c r="V19" s="44" t="s">
        <v>55</v>
      </c>
      <c r="W19" s="40" t="s">
        <v>36</v>
      </c>
      <c r="X19" s="39" t="s">
        <v>36</v>
      </c>
      <c r="Y19" s="39" t="s">
        <v>36</v>
      </c>
      <c r="Z19" s="44" t="s">
        <v>54</v>
      </c>
      <c r="AA19" s="44" t="s">
        <v>54</v>
      </c>
      <c r="AB19" s="44" t="s">
        <v>35</v>
      </c>
      <c r="AC19" s="44" t="s">
        <v>35</v>
      </c>
      <c r="AD19" s="44" t="s">
        <v>35</v>
      </c>
      <c r="AE19" s="39" t="s">
        <v>36</v>
      </c>
      <c r="AF19" s="39" t="s">
        <v>36</v>
      </c>
      <c r="AG19" s="44" t="s">
        <v>35</v>
      </c>
      <c r="AH19" s="44" t="s">
        <v>35</v>
      </c>
      <c r="AI19" s="37">
        <v>11</v>
      </c>
      <c r="AJ19" s="35">
        <f t="shared" si="12"/>
        <v>11</v>
      </c>
      <c r="AK19" s="35">
        <v>6</v>
      </c>
      <c r="AL19" s="35">
        <f t="shared" si="13"/>
        <v>4.5</v>
      </c>
      <c r="AM19" s="36">
        <f t="shared" si="14"/>
        <v>8</v>
      </c>
      <c r="AN19" s="36">
        <f t="shared" si="15"/>
        <v>0</v>
      </c>
      <c r="AO19" s="36">
        <f t="shared" si="16"/>
        <v>168</v>
      </c>
      <c r="AP19" s="36">
        <f t="shared" si="17"/>
        <v>136</v>
      </c>
      <c r="AQ19" s="36">
        <v>44.5</v>
      </c>
      <c r="AR19" s="36">
        <f>71-AQ19</f>
        <v>26.5</v>
      </c>
      <c r="AS19" s="36">
        <v>0</v>
      </c>
      <c r="AT19" s="36">
        <v>0</v>
      </c>
      <c r="AU19" s="36">
        <v>0</v>
      </c>
      <c r="AV19" s="36">
        <v>0</v>
      </c>
      <c r="AW19" s="36">
        <v>0</v>
      </c>
      <c r="AX19" s="36">
        <v>0</v>
      </c>
      <c r="AY19" s="36">
        <v>0</v>
      </c>
      <c r="AZ19" s="36">
        <v>0</v>
      </c>
    </row>
    <row r="20" s="24" customFormat="1" ht="21" customHeight="1" spans="1:52">
      <c r="A20" s="42"/>
      <c r="B20" s="43"/>
      <c r="C20" s="42"/>
      <c r="D20" s="37" t="s">
        <v>37</v>
      </c>
      <c r="E20" s="38">
        <v>1.5</v>
      </c>
      <c r="F20" s="38">
        <v>1.5</v>
      </c>
      <c r="G20" s="38"/>
      <c r="H20" s="38"/>
      <c r="I20" s="38">
        <v>1.5</v>
      </c>
      <c r="J20" s="39">
        <v>8</v>
      </c>
      <c r="K20" s="39"/>
      <c r="L20" s="38"/>
      <c r="M20" s="38"/>
      <c r="N20" s="38"/>
      <c r="O20" s="38"/>
      <c r="P20" s="38"/>
      <c r="Q20" s="39"/>
      <c r="R20" s="39"/>
      <c r="S20" s="38"/>
      <c r="T20" s="38"/>
      <c r="U20" s="38"/>
      <c r="V20" s="38"/>
      <c r="W20" s="40"/>
      <c r="X20" s="39"/>
      <c r="Y20" s="39"/>
      <c r="Z20" s="38"/>
      <c r="AA20" s="38"/>
      <c r="AB20" s="38"/>
      <c r="AC20" s="38"/>
      <c r="AD20" s="38"/>
      <c r="AE20" s="39"/>
      <c r="AF20" s="39"/>
      <c r="AG20" s="38"/>
      <c r="AH20" s="38"/>
      <c r="AI20" s="37">
        <v>0</v>
      </c>
      <c r="AJ20" s="43"/>
      <c r="AK20" s="43"/>
      <c r="AL20" s="43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</row>
    <row r="21" s="24" customFormat="1" ht="21" customHeight="1" spans="1:52">
      <c r="A21" s="36">
        <v>9</v>
      </c>
      <c r="B21" s="35" t="s">
        <v>40</v>
      </c>
      <c r="C21" s="36" t="s">
        <v>56</v>
      </c>
      <c r="D21" s="37" t="s">
        <v>34</v>
      </c>
      <c r="E21" s="44" t="s">
        <v>39</v>
      </c>
      <c r="F21" s="44" t="s">
        <v>39</v>
      </c>
      <c r="G21" s="44" t="s">
        <v>39</v>
      </c>
      <c r="H21" s="44" t="s">
        <v>39</v>
      </c>
      <c r="I21" s="44" t="s">
        <v>39</v>
      </c>
      <c r="J21" s="39" t="s">
        <v>36</v>
      </c>
      <c r="K21" s="39" t="s">
        <v>36</v>
      </c>
      <c r="L21" s="44" t="s">
        <v>35</v>
      </c>
      <c r="M21" s="44" t="s">
        <v>35</v>
      </c>
      <c r="N21" s="44" t="s">
        <v>35</v>
      </c>
      <c r="O21" s="44" t="s">
        <v>35</v>
      </c>
      <c r="P21" s="44" t="s">
        <v>35</v>
      </c>
      <c r="Q21" s="39" t="s">
        <v>39</v>
      </c>
      <c r="R21" s="39" t="s">
        <v>39</v>
      </c>
      <c r="S21" s="44" t="s">
        <v>39</v>
      </c>
      <c r="T21" s="44" t="s">
        <v>39</v>
      </c>
      <c r="U21" s="44" t="s">
        <v>39</v>
      </c>
      <c r="V21" s="44" t="s">
        <v>39</v>
      </c>
      <c r="W21" s="40" t="s">
        <v>36</v>
      </c>
      <c r="X21" s="39" t="s">
        <v>36</v>
      </c>
      <c r="Y21" s="39" t="s">
        <v>36</v>
      </c>
      <c r="Z21" s="44" t="s">
        <v>39</v>
      </c>
      <c r="AA21" s="44" t="s">
        <v>39</v>
      </c>
      <c r="AB21" s="44" t="s">
        <v>39</v>
      </c>
      <c r="AC21" s="44" t="s">
        <v>39</v>
      </c>
      <c r="AD21" s="44" t="s">
        <v>39</v>
      </c>
      <c r="AE21" s="39" t="s">
        <v>39</v>
      </c>
      <c r="AF21" s="39" t="s">
        <v>39</v>
      </c>
      <c r="AG21" s="44" t="s">
        <v>39</v>
      </c>
      <c r="AH21" s="44" t="s">
        <v>39</v>
      </c>
      <c r="AI21" s="37">
        <v>5</v>
      </c>
      <c r="AJ21" s="35">
        <f t="shared" si="12"/>
        <v>9</v>
      </c>
      <c r="AK21" s="35">
        <v>20</v>
      </c>
      <c r="AL21" s="35">
        <f t="shared" si="13"/>
        <v>33.5</v>
      </c>
      <c r="AM21" s="36">
        <f t="shared" si="14"/>
        <v>29.5</v>
      </c>
      <c r="AN21" s="36">
        <f t="shared" si="15"/>
        <v>0</v>
      </c>
      <c r="AO21" s="36">
        <f t="shared" si="16"/>
        <v>168</v>
      </c>
      <c r="AP21" s="36">
        <f t="shared" si="17"/>
        <v>231</v>
      </c>
      <c r="AQ21" s="36">
        <v>0</v>
      </c>
      <c r="AR21" s="36">
        <v>33.5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</row>
    <row r="22" s="24" customFormat="1" ht="21" customHeight="1" spans="1:52">
      <c r="A22" s="42"/>
      <c r="B22" s="43"/>
      <c r="C22" s="42"/>
      <c r="D22" s="37" t="s">
        <v>37</v>
      </c>
      <c r="E22" s="38"/>
      <c r="F22" s="38"/>
      <c r="G22" s="38">
        <v>1.5</v>
      </c>
      <c r="H22" s="38"/>
      <c r="I22" s="38"/>
      <c r="J22" s="39"/>
      <c r="K22" s="39"/>
      <c r="L22" s="38">
        <v>2</v>
      </c>
      <c r="M22" s="38"/>
      <c r="N22" s="38">
        <v>2.5</v>
      </c>
      <c r="O22" s="38">
        <v>2</v>
      </c>
      <c r="P22" s="38">
        <v>1.5</v>
      </c>
      <c r="Q22" s="39">
        <v>8</v>
      </c>
      <c r="R22" s="39">
        <v>3.5</v>
      </c>
      <c r="S22" s="38">
        <v>4.5</v>
      </c>
      <c r="T22" s="38">
        <v>9</v>
      </c>
      <c r="U22" s="38"/>
      <c r="V22" s="38"/>
      <c r="W22" s="40"/>
      <c r="X22" s="39"/>
      <c r="Y22" s="39"/>
      <c r="Z22" s="38"/>
      <c r="AA22" s="38">
        <v>1.5</v>
      </c>
      <c r="AB22" s="38">
        <v>2.5</v>
      </c>
      <c r="AC22" s="38">
        <v>1</v>
      </c>
      <c r="AD22" s="38">
        <v>2.5</v>
      </c>
      <c r="AE22" s="39">
        <v>8.5</v>
      </c>
      <c r="AF22" s="39">
        <v>9.5</v>
      </c>
      <c r="AG22" s="38">
        <v>1.5</v>
      </c>
      <c r="AH22" s="38">
        <v>1.5</v>
      </c>
      <c r="AI22" s="37">
        <v>4</v>
      </c>
      <c r="AJ22" s="43"/>
      <c r="AK22" s="43"/>
      <c r="AL22" s="43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</row>
    <row r="23" s="24" customFormat="1" ht="21" customHeight="1" spans="1:52">
      <c r="A23" s="36">
        <v>10</v>
      </c>
      <c r="B23" s="35" t="s">
        <v>32</v>
      </c>
      <c r="C23" s="36" t="s">
        <v>57</v>
      </c>
      <c r="D23" s="37" t="s">
        <v>34</v>
      </c>
      <c r="E23" s="44" t="s">
        <v>35</v>
      </c>
      <c r="F23" s="44" t="s">
        <v>35</v>
      </c>
      <c r="G23" s="44" t="s">
        <v>35</v>
      </c>
      <c r="H23" s="44" t="s">
        <v>39</v>
      </c>
      <c r="I23" s="44" t="s">
        <v>35</v>
      </c>
      <c r="J23" s="39" t="s">
        <v>36</v>
      </c>
      <c r="K23" s="39" t="s">
        <v>36</v>
      </c>
      <c r="L23" s="44" t="s">
        <v>35</v>
      </c>
      <c r="M23" s="44" t="s">
        <v>39</v>
      </c>
      <c r="N23" s="44" t="s">
        <v>39</v>
      </c>
      <c r="O23" s="44" t="s">
        <v>39</v>
      </c>
      <c r="P23" s="44" t="s">
        <v>39</v>
      </c>
      <c r="Q23" s="39" t="s">
        <v>36</v>
      </c>
      <c r="R23" s="39" t="s">
        <v>36</v>
      </c>
      <c r="S23" s="44" t="s">
        <v>35</v>
      </c>
      <c r="T23" s="44" t="s">
        <v>35</v>
      </c>
      <c r="U23" s="44" t="s">
        <v>47</v>
      </c>
      <c r="V23" s="44" t="s">
        <v>35</v>
      </c>
      <c r="W23" s="40" t="s">
        <v>36</v>
      </c>
      <c r="X23" s="39" t="s">
        <v>36</v>
      </c>
      <c r="Y23" s="39"/>
      <c r="Z23" s="44" t="s">
        <v>39</v>
      </c>
      <c r="AA23" s="44" t="s">
        <v>39</v>
      </c>
      <c r="AB23" s="44" t="s">
        <v>35</v>
      </c>
      <c r="AC23" s="44" t="s">
        <v>35</v>
      </c>
      <c r="AD23" s="44" t="s">
        <v>35</v>
      </c>
      <c r="AE23" s="39"/>
      <c r="AF23" s="39" t="s">
        <v>36</v>
      </c>
      <c r="AG23" s="44" t="s">
        <v>35</v>
      </c>
      <c r="AH23" s="44" t="s">
        <v>35</v>
      </c>
      <c r="AI23" s="37">
        <v>14</v>
      </c>
      <c r="AJ23" s="35">
        <f t="shared" ref="AJ23:AJ27" si="18">AI23+AI24</f>
        <v>24</v>
      </c>
      <c r="AK23" s="35">
        <v>7</v>
      </c>
      <c r="AL23" s="35">
        <f t="shared" ref="AL23:AL27" si="19">E24+F24+G24+H24+I24+L24+M24+N24+O24+P24+S24+T24+U24+V24+Z24+AA24+AB24+AC24+AD24+AG24+AH24</f>
        <v>0</v>
      </c>
      <c r="AM23" s="36">
        <f t="shared" ref="AM23:AM27" si="20">J24+K24+Q24+R24+X24+Y24+AE24+AF24</f>
        <v>0</v>
      </c>
      <c r="AN23" s="36">
        <f t="shared" ref="AN23:AN27" si="21">W24</f>
        <v>0</v>
      </c>
      <c r="AO23" s="36">
        <f t="shared" ref="AO23:AO27" si="22">21*8</f>
        <v>168</v>
      </c>
      <c r="AP23" s="36">
        <f t="shared" ref="AP23:AP27" si="23">AL23+AM23+AN23+AO23-AQ23-AS23-AT23-AV23-AW23-AX23-AY23-AZ23-AU23</f>
        <v>167</v>
      </c>
      <c r="AQ23" s="36">
        <v>1</v>
      </c>
      <c r="AR23" s="36">
        <f>76.5-AQ23</f>
        <v>75.5</v>
      </c>
      <c r="AS23" s="36">
        <v>0</v>
      </c>
      <c r="AT23" s="36">
        <v>0</v>
      </c>
      <c r="AU23" s="36">
        <v>0</v>
      </c>
      <c r="AV23" s="36">
        <v>0</v>
      </c>
      <c r="AW23" s="36">
        <v>0</v>
      </c>
      <c r="AX23" s="36">
        <v>0</v>
      </c>
      <c r="AY23" s="36">
        <v>0</v>
      </c>
      <c r="AZ23" s="36">
        <v>0</v>
      </c>
    </row>
    <row r="24" s="24" customFormat="1" ht="21" customHeight="1" spans="1:52">
      <c r="A24" s="42"/>
      <c r="B24" s="43"/>
      <c r="C24" s="42"/>
      <c r="D24" s="37" t="s">
        <v>37</v>
      </c>
      <c r="E24" s="38"/>
      <c r="F24" s="38"/>
      <c r="G24" s="38"/>
      <c r="H24" s="38"/>
      <c r="I24" s="38"/>
      <c r="J24" s="39"/>
      <c r="K24" s="39"/>
      <c r="L24" s="38"/>
      <c r="M24" s="38"/>
      <c r="N24" s="38"/>
      <c r="O24" s="38"/>
      <c r="P24" s="38"/>
      <c r="Q24" s="39"/>
      <c r="R24" s="39"/>
      <c r="S24" s="38"/>
      <c r="T24" s="38"/>
      <c r="U24" s="38"/>
      <c r="V24" s="38"/>
      <c r="W24" s="40"/>
      <c r="X24" s="39"/>
      <c r="Y24" s="39"/>
      <c r="Z24" s="38"/>
      <c r="AA24" s="38"/>
      <c r="AB24" s="38"/>
      <c r="AC24" s="38"/>
      <c r="AD24" s="38"/>
      <c r="AE24" s="49"/>
      <c r="AF24" s="39"/>
      <c r="AG24" s="38"/>
      <c r="AH24" s="38"/>
      <c r="AI24" s="37">
        <v>10</v>
      </c>
      <c r="AJ24" s="43"/>
      <c r="AK24" s="43"/>
      <c r="AL24" s="43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</row>
    <row r="25" s="24" customFormat="1" ht="21" customHeight="1" spans="1:52">
      <c r="A25" s="36">
        <v>11</v>
      </c>
      <c r="B25" s="35" t="s">
        <v>32</v>
      </c>
      <c r="C25" s="36" t="s">
        <v>58</v>
      </c>
      <c r="D25" s="37" t="s">
        <v>34</v>
      </c>
      <c r="E25" s="44" t="s">
        <v>35</v>
      </c>
      <c r="F25" s="44" t="s">
        <v>35</v>
      </c>
      <c r="G25" s="44" t="s">
        <v>35</v>
      </c>
      <c r="H25" s="44" t="s">
        <v>39</v>
      </c>
      <c r="I25" s="44" t="s">
        <v>35</v>
      </c>
      <c r="J25" s="39" t="s">
        <v>36</v>
      </c>
      <c r="K25" s="39" t="s">
        <v>36</v>
      </c>
      <c r="L25" s="44" t="s">
        <v>35</v>
      </c>
      <c r="M25" s="44" t="s">
        <v>35</v>
      </c>
      <c r="N25" s="44" t="s">
        <v>39</v>
      </c>
      <c r="O25" s="44" t="s">
        <v>39</v>
      </c>
      <c r="P25" s="44" t="s">
        <v>35</v>
      </c>
      <c r="Q25" s="39" t="s">
        <v>36</v>
      </c>
      <c r="R25" s="39" t="s">
        <v>36</v>
      </c>
      <c r="S25" s="44" t="s">
        <v>39</v>
      </c>
      <c r="T25" s="44" t="s">
        <v>39</v>
      </c>
      <c r="U25" s="44" t="s">
        <v>35</v>
      </c>
      <c r="V25" s="44" t="s">
        <v>35</v>
      </c>
      <c r="W25" s="40" t="s">
        <v>36</v>
      </c>
      <c r="X25" s="39" t="s">
        <v>36</v>
      </c>
      <c r="Y25" s="39" t="s">
        <v>36</v>
      </c>
      <c r="Z25" s="44" t="s">
        <v>39</v>
      </c>
      <c r="AA25" s="44" t="s">
        <v>39</v>
      </c>
      <c r="AB25" s="44" t="s">
        <v>39</v>
      </c>
      <c r="AC25" s="44" t="s">
        <v>39</v>
      </c>
      <c r="AD25" s="44" t="s">
        <v>39</v>
      </c>
      <c r="AE25" s="39" t="s">
        <v>36</v>
      </c>
      <c r="AF25" s="39" t="s">
        <v>36</v>
      </c>
      <c r="AG25" s="44" t="s">
        <v>35</v>
      </c>
      <c r="AH25" s="44" t="s">
        <v>39</v>
      </c>
      <c r="AI25" s="37">
        <v>10</v>
      </c>
      <c r="AJ25" s="35">
        <f t="shared" si="18"/>
        <v>16</v>
      </c>
      <c r="AK25" s="35">
        <v>11</v>
      </c>
      <c r="AL25" s="35">
        <f t="shared" si="19"/>
        <v>0</v>
      </c>
      <c r="AM25" s="36">
        <f t="shared" si="20"/>
        <v>0</v>
      </c>
      <c r="AN25" s="36">
        <f t="shared" si="21"/>
        <v>0</v>
      </c>
      <c r="AO25" s="36">
        <f t="shared" si="22"/>
        <v>168</v>
      </c>
      <c r="AP25" s="36">
        <f t="shared" si="23"/>
        <v>168</v>
      </c>
      <c r="AQ25" s="36">
        <v>0</v>
      </c>
      <c r="AR25" s="36">
        <v>13.5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0</v>
      </c>
      <c r="AY25" s="36">
        <v>0</v>
      </c>
      <c r="AZ25" s="36">
        <v>0</v>
      </c>
    </row>
    <row r="26" s="24" customFormat="1" ht="21" customHeight="1" spans="1:52">
      <c r="A26" s="42"/>
      <c r="B26" s="43"/>
      <c r="C26" s="42"/>
      <c r="D26" s="37" t="s">
        <v>37</v>
      </c>
      <c r="E26" s="38"/>
      <c r="F26" s="38"/>
      <c r="G26" s="38"/>
      <c r="H26" s="38"/>
      <c r="I26" s="38"/>
      <c r="J26" s="39"/>
      <c r="K26" s="39"/>
      <c r="L26" s="38"/>
      <c r="M26" s="38"/>
      <c r="N26" s="38"/>
      <c r="O26" s="38"/>
      <c r="P26" s="38"/>
      <c r="Q26" s="39"/>
      <c r="R26" s="39"/>
      <c r="S26" s="38"/>
      <c r="T26" s="38"/>
      <c r="U26" s="38"/>
      <c r="V26" s="38"/>
      <c r="W26" s="40"/>
      <c r="X26" s="39"/>
      <c r="Y26" s="39"/>
      <c r="Z26" s="38"/>
      <c r="AA26" s="38"/>
      <c r="AB26" s="38"/>
      <c r="AC26" s="38"/>
      <c r="AD26" s="38"/>
      <c r="AE26" s="39"/>
      <c r="AF26" s="39"/>
      <c r="AG26" s="38"/>
      <c r="AH26" s="38"/>
      <c r="AI26" s="37">
        <v>6</v>
      </c>
      <c r="AJ26" s="43"/>
      <c r="AK26" s="43"/>
      <c r="AL26" s="43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</row>
    <row r="27" s="24" customFormat="1" ht="21" customHeight="1" spans="1:52">
      <c r="A27" s="36">
        <v>12</v>
      </c>
      <c r="B27" s="35" t="s">
        <v>40</v>
      </c>
      <c r="C27" s="36" t="s">
        <v>59</v>
      </c>
      <c r="D27" s="37" t="s">
        <v>34</v>
      </c>
      <c r="E27" s="44" t="s">
        <v>35</v>
      </c>
      <c r="F27" s="44" t="s">
        <v>35</v>
      </c>
      <c r="G27" s="44" t="s">
        <v>35</v>
      </c>
      <c r="H27" s="44" t="s">
        <v>54</v>
      </c>
      <c r="I27" s="44" t="s">
        <v>54</v>
      </c>
      <c r="J27" s="39" t="s">
        <v>36</v>
      </c>
      <c r="K27" s="39" t="s">
        <v>36</v>
      </c>
      <c r="L27" s="44" t="s">
        <v>54</v>
      </c>
      <c r="M27" s="44" t="s">
        <v>39</v>
      </c>
      <c r="N27" s="44" t="s">
        <v>39</v>
      </c>
      <c r="O27" s="44" t="s">
        <v>39</v>
      </c>
      <c r="P27" s="44" t="s">
        <v>39</v>
      </c>
      <c r="Q27" s="45" t="s">
        <v>39</v>
      </c>
      <c r="R27" s="45" t="s">
        <v>39</v>
      </c>
      <c r="S27" s="44" t="s">
        <v>39</v>
      </c>
      <c r="T27" s="44" t="s">
        <v>39</v>
      </c>
      <c r="U27" s="44" t="s">
        <v>39</v>
      </c>
      <c r="V27" s="44" t="s">
        <v>39</v>
      </c>
      <c r="W27" s="40" t="s">
        <v>39</v>
      </c>
      <c r="X27" s="39" t="s">
        <v>39</v>
      </c>
      <c r="Y27" s="39" t="s">
        <v>39</v>
      </c>
      <c r="Z27" s="44" t="s">
        <v>39</v>
      </c>
      <c r="AA27" s="44" t="s">
        <v>39</v>
      </c>
      <c r="AB27" s="44" t="s">
        <v>39</v>
      </c>
      <c r="AC27" s="44" t="s">
        <v>39</v>
      </c>
      <c r="AD27" s="44" t="s">
        <v>39</v>
      </c>
      <c r="AE27" s="39" t="s">
        <v>39</v>
      </c>
      <c r="AF27" s="39" t="s">
        <v>39</v>
      </c>
      <c r="AG27" s="44" t="s">
        <v>39</v>
      </c>
      <c r="AH27" s="44" t="s">
        <v>39</v>
      </c>
      <c r="AI27" s="37">
        <v>3</v>
      </c>
      <c r="AJ27" s="35">
        <f t="shared" si="18"/>
        <v>5</v>
      </c>
      <c r="AK27" s="35">
        <v>22</v>
      </c>
      <c r="AL27" s="35">
        <f t="shared" si="19"/>
        <v>19</v>
      </c>
      <c r="AM27" s="36">
        <f t="shared" si="20"/>
        <v>19.5</v>
      </c>
      <c r="AN27" s="36">
        <f t="shared" si="21"/>
        <v>8</v>
      </c>
      <c r="AO27" s="36">
        <f t="shared" si="22"/>
        <v>168</v>
      </c>
      <c r="AP27" s="36">
        <f t="shared" si="23"/>
        <v>190.5</v>
      </c>
      <c r="AQ27" s="36">
        <v>24</v>
      </c>
      <c r="AR27" s="36">
        <f>39-AQ27</f>
        <v>15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</row>
    <row r="28" s="24" customFormat="1" ht="21" customHeight="1" spans="1:52">
      <c r="A28" s="42"/>
      <c r="B28" s="43"/>
      <c r="C28" s="42"/>
      <c r="D28" s="37" t="s">
        <v>37</v>
      </c>
      <c r="E28" s="38">
        <v>3</v>
      </c>
      <c r="F28" s="38"/>
      <c r="G28" s="38">
        <v>3</v>
      </c>
      <c r="H28" s="38"/>
      <c r="I28" s="38"/>
      <c r="J28" s="39"/>
      <c r="K28" s="39"/>
      <c r="L28" s="38"/>
      <c r="M28" s="38"/>
      <c r="N28" s="38"/>
      <c r="O28" s="38"/>
      <c r="P28" s="38">
        <v>1.5</v>
      </c>
      <c r="Q28" s="39">
        <v>8</v>
      </c>
      <c r="R28" s="39">
        <v>3.5</v>
      </c>
      <c r="S28" s="38">
        <v>1.5</v>
      </c>
      <c r="T28" s="38"/>
      <c r="U28" s="38">
        <v>1.5</v>
      </c>
      <c r="V28" s="38">
        <v>1.5</v>
      </c>
      <c r="W28" s="40">
        <v>8</v>
      </c>
      <c r="X28" s="39"/>
      <c r="Y28" s="39"/>
      <c r="Z28" s="38"/>
      <c r="AA28" s="38">
        <v>2</v>
      </c>
      <c r="AB28" s="38">
        <v>1.5</v>
      </c>
      <c r="AC28" s="38">
        <v>1</v>
      </c>
      <c r="AD28" s="38">
        <v>1.5</v>
      </c>
      <c r="AE28" s="39">
        <v>8</v>
      </c>
      <c r="AF28" s="39"/>
      <c r="AG28" s="38">
        <v>1</v>
      </c>
      <c r="AH28" s="38"/>
      <c r="AI28" s="37">
        <v>2</v>
      </c>
      <c r="AJ28" s="43"/>
      <c r="AK28" s="43"/>
      <c r="AL28" s="43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</row>
    <row r="29" s="24" customFormat="1" ht="21" customHeight="1" spans="1:52">
      <c r="A29" s="36">
        <v>13</v>
      </c>
      <c r="B29" s="35" t="s">
        <v>40</v>
      </c>
      <c r="C29" s="36" t="s">
        <v>60</v>
      </c>
      <c r="D29" s="37" t="s">
        <v>34</v>
      </c>
      <c r="E29" s="44" t="s">
        <v>39</v>
      </c>
      <c r="F29" s="44" t="s">
        <v>39</v>
      </c>
      <c r="G29" s="44" t="s">
        <v>39</v>
      </c>
      <c r="H29" s="44" t="s">
        <v>39</v>
      </c>
      <c r="I29" s="44" t="s">
        <v>39</v>
      </c>
      <c r="J29" s="45" t="s">
        <v>39</v>
      </c>
      <c r="K29" s="45" t="s">
        <v>39</v>
      </c>
      <c r="L29" s="44" t="s">
        <v>39</v>
      </c>
      <c r="M29" s="44" t="s">
        <v>39</v>
      </c>
      <c r="N29" s="44" t="s">
        <v>39</v>
      </c>
      <c r="O29" s="44" t="s">
        <v>39</v>
      </c>
      <c r="P29" s="44" t="s">
        <v>39</v>
      </c>
      <c r="Q29" s="45" t="s">
        <v>39</v>
      </c>
      <c r="R29" s="45" t="s">
        <v>39</v>
      </c>
      <c r="S29" s="44" t="s">
        <v>39</v>
      </c>
      <c r="T29" s="44" t="s">
        <v>39</v>
      </c>
      <c r="U29" s="44" t="s">
        <v>39</v>
      </c>
      <c r="V29" s="44" t="s">
        <v>39</v>
      </c>
      <c r="W29" s="46" t="s">
        <v>36</v>
      </c>
      <c r="X29" s="45" t="s">
        <v>36</v>
      </c>
      <c r="Y29" s="45" t="s">
        <v>36</v>
      </c>
      <c r="Z29" s="44" t="s">
        <v>61</v>
      </c>
      <c r="AA29" s="44" t="s">
        <v>35</v>
      </c>
      <c r="AB29" s="44" t="s">
        <v>35</v>
      </c>
      <c r="AC29" s="44" t="s">
        <v>35</v>
      </c>
      <c r="AD29" s="44" t="s">
        <v>35</v>
      </c>
      <c r="AE29" s="45" t="s">
        <v>36</v>
      </c>
      <c r="AF29" s="45" t="s">
        <v>39</v>
      </c>
      <c r="AG29" s="44" t="s">
        <v>39</v>
      </c>
      <c r="AH29" s="44" t="s">
        <v>39</v>
      </c>
      <c r="AI29" s="50">
        <v>4</v>
      </c>
      <c r="AJ29" s="51">
        <f t="shared" ref="AJ29:AJ33" si="24">AI29+AI30</f>
        <v>6</v>
      </c>
      <c r="AK29" s="51">
        <v>21</v>
      </c>
      <c r="AL29" s="52">
        <f t="shared" ref="AL29:AL33" si="25">E30+F30+G30+H30+I30+L30+M30+N30+O30+P30+S30+T30+U30+V30+Z30+AA30+AB30+AC30+AD30+AG30+AH30</f>
        <v>26.5</v>
      </c>
      <c r="AM29" s="53">
        <f t="shared" ref="AM29:AM33" si="26">J30+K30+Q30+R30+X30+Y30+AE30+AF30</f>
        <v>40</v>
      </c>
      <c r="AN29" s="53">
        <f t="shared" ref="AN29:AN33" si="27">W30</f>
        <v>0</v>
      </c>
      <c r="AO29" s="53">
        <f t="shared" ref="AO29:AO33" si="28">21*8</f>
        <v>168</v>
      </c>
      <c r="AP29" s="54">
        <f t="shared" ref="AP29:AP33" si="29">AL29+AM29+AN29+AO29-AQ29-AS29-AT29-AV29-AW29-AX29-AY29-AZ29-AU29</f>
        <v>226.5</v>
      </c>
      <c r="AQ29" s="54">
        <v>0</v>
      </c>
      <c r="AR29" s="55">
        <v>-20</v>
      </c>
      <c r="AS29" s="53">
        <v>0</v>
      </c>
      <c r="AT29" s="53">
        <v>8</v>
      </c>
      <c r="AU29" s="53">
        <v>0</v>
      </c>
      <c r="AV29" s="53">
        <v>0</v>
      </c>
      <c r="AW29" s="53">
        <v>0</v>
      </c>
      <c r="AX29" s="53">
        <v>0</v>
      </c>
      <c r="AY29" s="53">
        <v>0</v>
      </c>
      <c r="AZ29" s="53">
        <v>0</v>
      </c>
    </row>
    <row r="30" s="24" customFormat="1" ht="21" customHeight="1" spans="1:52">
      <c r="A30" s="42"/>
      <c r="B30" s="43"/>
      <c r="C30" s="42"/>
      <c r="D30" s="37" t="s">
        <v>37</v>
      </c>
      <c r="E30" s="44">
        <v>1</v>
      </c>
      <c r="F30" s="44">
        <v>1.5</v>
      </c>
      <c r="G30" s="44">
        <v>1.5</v>
      </c>
      <c r="H30" s="44">
        <v>3</v>
      </c>
      <c r="I30" s="44"/>
      <c r="J30" s="45">
        <v>9.5</v>
      </c>
      <c r="K30" s="45"/>
      <c r="L30" s="44">
        <v>1.5</v>
      </c>
      <c r="M30" s="44">
        <v>1.5</v>
      </c>
      <c r="N30" s="44"/>
      <c r="O30" s="44"/>
      <c r="P30" s="44">
        <v>1.5</v>
      </c>
      <c r="Q30" s="45">
        <v>10.5</v>
      </c>
      <c r="R30" s="45">
        <v>9.5</v>
      </c>
      <c r="S30" s="44">
        <v>3</v>
      </c>
      <c r="T30" s="44"/>
      <c r="U30" s="44">
        <v>3.5</v>
      </c>
      <c r="V30" s="44">
        <v>3</v>
      </c>
      <c r="W30" s="46"/>
      <c r="X30" s="45"/>
      <c r="Y30" s="45"/>
      <c r="Z30" s="44"/>
      <c r="AA30" s="44"/>
      <c r="AB30" s="44">
        <v>2.5</v>
      </c>
      <c r="AC30" s="44"/>
      <c r="AD30" s="44">
        <v>1.5</v>
      </c>
      <c r="AE30" s="45"/>
      <c r="AF30" s="45">
        <v>10.5</v>
      </c>
      <c r="AG30" s="44">
        <v>1.5</v>
      </c>
      <c r="AH30" s="44"/>
      <c r="AI30" s="50">
        <v>2</v>
      </c>
      <c r="AJ30" s="56"/>
      <c r="AK30" s="56"/>
      <c r="AL30" s="57"/>
      <c r="AM30" s="58"/>
      <c r="AN30" s="58"/>
      <c r="AO30" s="58"/>
      <c r="AP30" s="59"/>
      <c r="AQ30" s="59"/>
      <c r="AR30" s="60"/>
      <c r="AS30" s="58"/>
      <c r="AT30" s="58"/>
      <c r="AU30" s="58"/>
      <c r="AV30" s="58"/>
      <c r="AW30" s="58"/>
      <c r="AX30" s="58"/>
      <c r="AY30" s="58"/>
      <c r="AZ30" s="58"/>
    </row>
    <row r="31" s="24" customFormat="1" ht="21" customHeight="1" spans="1:52">
      <c r="A31" s="36">
        <v>14</v>
      </c>
      <c r="B31" s="35" t="s">
        <v>32</v>
      </c>
      <c r="C31" s="36" t="s">
        <v>62</v>
      </c>
      <c r="D31" s="37" t="s">
        <v>34</v>
      </c>
      <c r="E31" s="44" t="s">
        <v>35</v>
      </c>
      <c r="F31" s="44" t="s">
        <v>35</v>
      </c>
      <c r="G31" s="44" t="s">
        <v>35</v>
      </c>
      <c r="H31" s="44" t="s">
        <v>35</v>
      </c>
      <c r="I31" s="44" t="s">
        <v>35</v>
      </c>
      <c r="J31" s="39" t="s">
        <v>36</v>
      </c>
      <c r="K31" s="39" t="s">
        <v>36</v>
      </c>
      <c r="L31" s="44" t="s">
        <v>35</v>
      </c>
      <c r="M31" s="44" t="s">
        <v>35</v>
      </c>
      <c r="N31" s="44" t="s">
        <v>35</v>
      </c>
      <c r="O31" s="44" t="s">
        <v>35</v>
      </c>
      <c r="P31" s="44" t="s">
        <v>35</v>
      </c>
      <c r="Q31" s="39" t="s">
        <v>36</v>
      </c>
      <c r="R31" s="39" t="s">
        <v>36</v>
      </c>
      <c r="S31" s="44" t="s">
        <v>35</v>
      </c>
      <c r="T31" s="44" t="s">
        <v>35</v>
      </c>
      <c r="U31" s="44" t="s">
        <v>35</v>
      </c>
      <c r="V31" s="44" t="s">
        <v>35</v>
      </c>
      <c r="W31" s="40" t="s">
        <v>36</v>
      </c>
      <c r="X31" s="39" t="s">
        <v>36</v>
      </c>
      <c r="Y31" s="39" t="s">
        <v>36</v>
      </c>
      <c r="Z31" s="44" t="s">
        <v>35</v>
      </c>
      <c r="AA31" s="44" t="s">
        <v>35</v>
      </c>
      <c r="AB31" s="44" t="s">
        <v>35</v>
      </c>
      <c r="AC31" s="44" t="s">
        <v>35</v>
      </c>
      <c r="AD31" s="44" t="s">
        <v>35</v>
      </c>
      <c r="AE31" s="39" t="s">
        <v>36</v>
      </c>
      <c r="AF31" s="39" t="s">
        <v>36</v>
      </c>
      <c r="AG31" s="44" t="s">
        <v>35</v>
      </c>
      <c r="AH31" s="44" t="s">
        <v>35</v>
      </c>
      <c r="AI31" s="37">
        <v>0</v>
      </c>
      <c r="AJ31" s="35">
        <f t="shared" si="24"/>
        <v>0</v>
      </c>
      <c r="AK31" s="35">
        <v>0</v>
      </c>
      <c r="AL31" s="35">
        <f t="shared" si="25"/>
        <v>0</v>
      </c>
      <c r="AM31" s="36">
        <f t="shared" si="26"/>
        <v>0</v>
      </c>
      <c r="AN31" s="36">
        <f t="shared" si="27"/>
        <v>0</v>
      </c>
      <c r="AO31" s="36">
        <f t="shared" si="28"/>
        <v>168</v>
      </c>
      <c r="AP31" s="36">
        <f t="shared" si="29"/>
        <v>168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  <c r="AZ31" s="36">
        <v>0</v>
      </c>
    </row>
    <row r="32" s="24" customFormat="1" ht="21" customHeight="1" spans="1:52">
      <c r="A32" s="42"/>
      <c r="B32" s="43"/>
      <c r="C32" s="42"/>
      <c r="D32" s="37" t="s">
        <v>37</v>
      </c>
      <c r="E32" s="38"/>
      <c r="F32" s="38"/>
      <c r="G32" s="38"/>
      <c r="H32" s="38"/>
      <c r="I32" s="38"/>
      <c r="J32" s="39"/>
      <c r="K32" s="39"/>
      <c r="L32" s="38"/>
      <c r="M32" s="38"/>
      <c r="N32" s="38"/>
      <c r="O32" s="38"/>
      <c r="P32" s="38"/>
      <c r="Q32" s="39"/>
      <c r="R32" s="39"/>
      <c r="S32" s="38"/>
      <c r="T32" s="38"/>
      <c r="U32" s="38"/>
      <c r="V32" s="38"/>
      <c r="W32" s="40"/>
      <c r="X32" s="39"/>
      <c r="Y32" s="39"/>
      <c r="Z32" s="38"/>
      <c r="AA32" s="38"/>
      <c r="AB32" s="38"/>
      <c r="AC32" s="38"/>
      <c r="AD32" s="38"/>
      <c r="AE32" s="39"/>
      <c r="AF32" s="39"/>
      <c r="AG32" s="38"/>
      <c r="AH32" s="38"/>
      <c r="AI32" s="37">
        <v>0</v>
      </c>
      <c r="AJ32" s="43"/>
      <c r="AK32" s="43"/>
      <c r="AL32" s="43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</row>
    <row r="33" s="24" customFormat="1" ht="21" customHeight="1" spans="1:52">
      <c r="A33" s="36">
        <v>15</v>
      </c>
      <c r="B33" s="35" t="s">
        <v>32</v>
      </c>
      <c r="C33" s="36" t="s">
        <v>63</v>
      </c>
      <c r="D33" s="37" t="s">
        <v>34</v>
      </c>
      <c r="E33" s="44" t="s">
        <v>35</v>
      </c>
      <c r="F33" s="44" t="s">
        <v>47</v>
      </c>
      <c r="G33" s="44" t="s">
        <v>35</v>
      </c>
      <c r="H33" s="44" t="s">
        <v>35</v>
      </c>
      <c r="I33" s="44" t="s">
        <v>35</v>
      </c>
      <c r="J33" s="39"/>
      <c r="K33" s="39"/>
      <c r="L33" s="44" t="s">
        <v>35</v>
      </c>
      <c r="M33" s="44" t="s">
        <v>35</v>
      </c>
      <c r="N33" s="44" t="s">
        <v>35</v>
      </c>
      <c r="O33" s="44" t="s">
        <v>35</v>
      </c>
      <c r="P33" s="44" t="s">
        <v>35</v>
      </c>
      <c r="Q33" s="39"/>
      <c r="R33" s="39"/>
      <c r="S33" s="44" t="s">
        <v>35</v>
      </c>
      <c r="T33" s="44" t="s">
        <v>35</v>
      </c>
      <c r="U33" s="44" t="s">
        <v>39</v>
      </c>
      <c r="V33" s="44" t="s">
        <v>64</v>
      </c>
      <c r="W33" s="40" t="s">
        <v>36</v>
      </c>
      <c r="X33" s="39" t="s">
        <v>36</v>
      </c>
      <c r="Y33" s="39" t="s">
        <v>36</v>
      </c>
      <c r="Z33" s="44" t="s">
        <v>35</v>
      </c>
      <c r="AA33" s="44" t="s">
        <v>35</v>
      </c>
      <c r="AB33" s="44" t="s">
        <v>47</v>
      </c>
      <c r="AC33" s="44" t="s">
        <v>35</v>
      </c>
      <c r="AD33" s="44" t="s">
        <v>35</v>
      </c>
      <c r="AE33" s="39"/>
      <c r="AF33" s="39" t="s">
        <v>36</v>
      </c>
      <c r="AG33" s="44" t="s">
        <v>35</v>
      </c>
      <c r="AH33" s="44" t="s">
        <v>35</v>
      </c>
      <c r="AI33" s="37">
        <v>19</v>
      </c>
      <c r="AJ33" s="35">
        <f t="shared" si="24"/>
        <v>41</v>
      </c>
      <c r="AK33" s="35">
        <v>2</v>
      </c>
      <c r="AL33" s="35">
        <f t="shared" si="25"/>
        <v>71.5</v>
      </c>
      <c r="AM33" s="36">
        <f t="shared" si="26"/>
        <v>31.5</v>
      </c>
      <c r="AN33" s="36">
        <f t="shared" si="27"/>
        <v>0</v>
      </c>
      <c r="AO33" s="36">
        <f t="shared" si="28"/>
        <v>168</v>
      </c>
      <c r="AP33" s="36">
        <f t="shared" si="29"/>
        <v>266</v>
      </c>
      <c r="AQ33" s="36">
        <v>5</v>
      </c>
      <c r="AR33" s="36">
        <f>9-AQ33</f>
        <v>4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</row>
    <row r="34" s="24" customFormat="1" ht="21" customHeight="1" spans="1:52">
      <c r="A34" s="42"/>
      <c r="B34" s="43"/>
      <c r="C34" s="42"/>
      <c r="D34" s="37" t="s">
        <v>37</v>
      </c>
      <c r="E34" s="38">
        <v>3.5</v>
      </c>
      <c r="F34" s="38">
        <v>3.5</v>
      </c>
      <c r="G34" s="38">
        <v>4</v>
      </c>
      <c r="H34" s="38">
        <v>4</v>
      </c>
      <c r="I34" s="38">
        <v>1.5</v>
      </c>
      <c r="J34" s="39">
        <v>6</v>
      </c>
      <c r="K34" s="39">
        <v>10</v>
      </c>
      <c r="L34" s="38">
        <v>5.5</v>
      </c>
      <c r="M34" s="38">
        <v>5.5</v>
      </c>
      <c r="N34" s="38">
        <v>5.5</v>
      </c>
      <c r="O34" s="38">
        <v>8</v>
      </c>
      <c r="P34" s="38"/>
      <c r="Q34" s="39">
        <v>7.5</v>
      </c>
      <c r="R34" s="39">
        <v>5</v>
      </c>
      <c r="S34" s="38">
        <v>3.5</v>
      </c>
      <c r="T34" s="38">
        <v>3.5</v>
      </c>
      <c r="U34" s="38">
        <v>2</v>
      </c>
      <c r="V34" s="38"/>
      <c r="W34" s="40"/>
      <c r="X34" s="39"/>
      <c r="Y34" s="39"/>
      <c r="Z34" s="38">
        <v>5.5</v>
      </c>
      <c r="AA34" s="38">
        <v>6</v>
      </c>
      <c r="AB34" s="38">
        <v>1.5</v>
      </c>
      <c r="AC34" s="38">
        <v>1.5</v>
      </c>
      <c r="AD34" s="38">
        <v>3</v>
      </c>
      <c r="AE34" s="39">
        <v>3</v>
      </c>
      <c r="AF34" s="39"/>
      <c r="AG34" s="38">
        <v>1.5</v>
      </c>
      <c r="AH34" s="38">
        <v>2.5</v>
      </c>
      <c r="AI34" s="37">
        <v>22</v>
      </c>
      <c r="AJ34" s="43"/>
      <c r="AK34" s="43"/>
      <c r="AL34" s="43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</row>
    <row r="35" s="24" customFormat="1" ht="21" customHeight="1" spans="1:52">
      <c r="A35" s="36">
        <v>16</v>
      </c>
      <c r="B35" s="35" t="s">
        <v>32</v>
      </c>
      <c r="C35" s="36" t="s">
        <v>65</v>
      </c>
      <c r="D35" s="37" t="s">
        <v>34</v>
      </c>
      <c r="E35" s="44" t="s">
        <v>35</v>
      </c>
      <c r="F35" s="44" t="s">
        <v>35</v>
      </c>
      <c r="G35" s="44" t="s">
        <v>35</v>
      </c>
      <c r="H35" s="44" t="s">
        <v>35</v>
      </c>
      <c r="I35" s="44" t="s">
        <v>35</v>
      </c>
      <c r="J35" s="39"/>
      <c r="K35" s="39" t="s">
        <v>36</v>
      </c>
      <c r="L35" s="44" t="s">
        <v>35</v>
      </c>
      <c r="M35" s="44" t="s">
        <v>35</v>
      </c>
      <c r="N35" s="44" t="s">
        <v>35</v>
      </c>
      <c r="O35" s="44" t="s">
        <v>35</v>
      </c>
      <c r="P35" s="44" t="s">
        <v>35</v>
      </c>
      <c r="Q35" s="39"/>
      <c r="R35" s="39" t="s">
        <v>36</v>
      </c>
      <c r="S35" s="44" t="s">
        <v>35</v>
      </c>
      <c r="T35" s="44" t="s">
        <v>35</v>
      </c>
      <c r="U35" s="44" t="s">
        <v>35</v>
      </c>
      <c r="V35" s="44" t="s">
        <v>35</v>
      </c>
      <c r="W35" s="40" t="s">
        <v>36</v>
      </c>
      <c r="X35" s="39" t="s">
        <v>36</v>
      </c>
      <c r="Y35" s="39"/>
      <c r="Z35" s="44" t="s">
        <v>35</v>
      </c>
      <c r="AA35" s="44" t="s">
        <v>35</v>
      </c>
      <c r="AB35" s="44" t="s">
        <v>66</v>
      </c>
      <c r="AC35" s="44" t="s">
        <v>67</v>
      </c>
      <c r="AD35" s="44" t="s">
        <v>35</v>
      </c>
      <c r="AE35" s="39" t="s">
        <v>36</v>
      </c>
      <c r="AF35" s="39" t="s">
        <v>36</v>
      </c>
      <c r="AG35" s="44" t="s">
        <v>35</v>
      </c>
      <c r="AH35" s="44" t="s">
        <v>35</v>
      </c>
      <c r="AI35" s="37">
        <v>20</v>
      </c>
      <c r="AJ35" s="35">
        <f t="shared" ref="AJ35:AJ39" si="30">AI35+AI36</f>
        <v>34</v>
      </c>
      <c r="AK35" s="35">
        <v>0</v>
      </c>
      <c r="AL35" s="35">
        <f t="shared" ref="AL35:AL39" si="31">E36+F36+G36+H36+I36+L36+M36+N36+O36+P36+S36+T36+U36+V36+Z36+AA36+AB36+AC36+AD36+AG36+AH36</f>
        <v>30</v>
      </c>
      <c r="AM35" s="36">
        <f t="shared" ref="AM35:AM39" si="32">J36+K36+Q36+R36+X36+Y36+AE36+AF36</f>
        <v>13</v>
      </c>
      <c r="AN35" s="36">
        <f t="shared" ref="AN35:AN39" si="33">W36</f>
        <v>0</v>
      </c>
      <c r="AO35" s="36">
        <f t="shared" ref="AO35:AO39" si="34">21*8</f>
        <v>168</v>
      </c>
      <c r="AP35" s="36">
        <f t="shared" ref="AP35:AP39" si="35">AL35+AM35+AN35+AO35-AQ35-AS35-AT35-AV35-AW35-AX35-AY35-AZ35-AU35</f>
        <v>208</v>
      </c>
      <c r="AQ35" s="36">
        <v>0</v>
      </c>
      <c r="AR35" s="36">
        <v>0</v>
      </c>
      <c r="AS35" s="36">
        <v>0</v>
      </c>
      <c r="AT35" s="36">
        <v>3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</row>
    <row r="36" s="24" customFormat="1" ht="21" customHeight="1" spans="1:52">
      <c r="A36" s="42"/>
      <c r="B36" s="43"/>
      <c r="C36" s="42"/>
      <c r="D36" s="37" t="s">
        <v>37</v>
      </c>
      <c r="E36" s="38">
        <v>2</v>
      </c>
      <c r="F36" s="38">
        <v>2.5</v>
      </c>
      <c r="G36" s="38"/>
      <c r="H36" s="38"/>
      <c r="I36" s="38"/>
      <c r="J36" s="39">
        <v>4</v>
      </c>
      <c r="K36" s="39"/>
      <c r="L36" s="38">
        <v>1.5</v>
      </c>
      <c r="M36" s="38">
        <v>2</v>
      </c>
      <c r="N36" s="38">
        <v>2</v>
      </c>
      <c r="O36" s="38">
        <v>3</v>
      </c>
      <c r="P36" s="38"/>
      <c r="Q36" s="39">
        <v>4.5</v>
      </c>
      <c r="R36" s="39"/>
      <c r="S36" s="38">
        <v>2</v>
      </c>
      <c r="T36" s="38">
        <v>2</v>
      </c>
      <c r="U36" s="38">
        <v>2.5</v>
      </c>
      <c r="V36" s="38">
        <v>1</v>
      </c>
      <c r="W36" s="40"/>
      <c r="X36" s="39"/>
      <c r="Y36" s="39">
        <v>4.5</v>
      </c>
      <c r="Z36" s="38">
        <v>2.5</v>
      </c>
      <c r="AA36" s="38">
        <v>3</v>
      </c>
      <c r="AB36" s="38">
        <v>1.5</v>
      </c>
      <c r="AC36" s="38"/>
      <c r="AD36" s="38"/>
      <c r="AE36" s="39"/>
      <c r="AF36" s="39"/>
      <c r="AG36" s="38">
        <v>2.5</v>
      </c>
      <c r="AH36" s="38"/>
      <c r="AI36" s="37">
        <v>14</v>
      </c>
      <c r="AJ36" s="43"/>
      <c r="AK36" s="43"/>
      <c r="AL36" s="43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</row>
    <row r="37" s="24" customFormat="1" ht="21" customHeight="1" spans="1:52">
      <c r="A37" s="36">
        <v>17</v>
      </c>
      <c r="B37" s="35" t="s">
        <v>32</v>
      </c>
      <c r="C37" s="36" t="s">
        <v>68</v>
      </c>
      <c r="D37" s="37" t="s">
        <v>34</v>
      </c>
      <c r="E37" s="44" t="s">
        <v>39</v>
      </c>
      <c r="F37" s="44" t="s">
        <v>39</v>
      </c>
      <c r="G37" s="44" t="s">
        <v>39</v>
      </c>
      <c r="H37" s="44" t="s">
        <v>39</v>
      </c>
      <c r="I37" s="44" t="s">
        <v>39</v>
      </c>
      <c r="J37" s="45" t="s">
        <v>39</v>
      </c>
      <c r="K37" s="45" t="s">
        <v>39</v>
      </c>
      <c r="L37" s="44" t="s">
        <v>39</v>
      </c>
      <c r="M37" s="44" t="s">
        <v>39</v>
      </c>
      <c r="N37" s="44" t="s">
        <v>39</v>
      </c>
      <c r="O37" s="44" t="s">
        <v>64</v>
      </c>
      <c r="P37" s="44" t="s">
        <v>39</v>
      </c>
      <c r="Q37" s="45" t="s">
        <v>39</v>
      </c>
      <c r="R37" s="45" t="s">
        <v>39</v>
      </c>
      <c r="S37" s="44" t="s">
        <v>39</v>
      </c>
      <c r="T37" s="44" t="s">
        <v>39</v>
      </c>
      <c r="U37" s="44" t="s">
        <v>39</v>
      </c>
      <c r="V37" s="44" t="s">
        <v>39</v>
      </c>
      <c r="W37" s="40" t="s">
        <v>36</v>
      </c>
      <c r="X37" s="39" t="s">
        <v>36</v>
      </c>
      <c r="Y37" s="39" t="s">
        <v>36</v>
      </c>
      <c r="Z37" s="44" t="s">
        <v>35</v>
      </c>
      <c r="AA37" s="44" t="s">
        <v>35</v>
      </c>
      <c r="AB37" s="44" t="s">
        <v>35</v>
      </c>
      <c r="AC37" s="44" t="s">
        <v>35</v>
      </c>
      <c r="AD37" s="44" t="s">
        <v>35</v>
      </c>
      <c r="AE37" s="39" t="s">
        <v>36</v>
      </c>
      <c r="AF37" s="39" t="s">
        <v>36</v>
      </c>
      <c r="AG37" s="44" t="s">
        <v>35</v>
      </c>
      <c r="AH37" s="44" t="s">
        <v>35</v>
      </c>
      <c r="AI37" s="37">
        <v>7</v>
      </c>
      <c r="AJ37" s="35">
        <f t="shared" si="30"/>
        <v>8</v>
      </c>
      <c r="AK37" s="35">
        <v>18</v>
      </c>
      <c r="AL37" s="35">
        <f t="shared" si="31"/>
        <v>17.5</v>
      </c>
      <c r="AM37" s="36">
        <f t="shared" si="32"/>
        <v>8</v>
      </c>
      <c r="AN37" s="36">
        <f t="shared" si="33"/>
        <v>0</v>
      </c>
      <c r="AO37" s="36">
        <f t="shared" si="34"/>
        <v>168</v>
      </c>
      <c r="AP37" s="36">
        <f t="shared" si="35"/>
        <v>190.5</v>
      </c>
      <c r="AQ37" s="36">
        <v>3</v>
      </c>
      <c r="AR37" s="36">
        <f>11-AQ37</f>
        <v>8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</row>
    <row r="38" s="24" customFormat="1" ht="21" customHeight="1" spans="1:52">
      <c r="A38" s="42"/>
      <c r="B38" s="43"/>
      <c r="C38" s="42"/>
      <c r="D38" s="37" t="s">
        <v>37</v>
      </c>
      <c r="E38" s="38"/>
      <c r="F38" s="38"/>
      <c r="G38" s="38"/>
      <c r="H38" s="38"/>
      <c r="I38" s="38"/>
      <c r="J38" s="39"/>
      <c r="K38" s="39">
        <v>4.5</v>
      </c>
      <c r="L38" s="38"/>
      <c r="M38" s="38"/>
      <c r="N38" s="38">
        <v>1.5</v>
      </c>
      <c r="O38" s="38"/>
      <c r="P38" s="38"/>
      <c r="Q38" s="39"/>
      <c r="R38" s="39">
        <v>3.5</v>
      </c>
      <c r="S38" s="38">
        <v>4.5</v>
      </c>
      <c r="T38" s="38">
        <v>9</v>
      </c>
      <c r="U38" s="38"/>
      <c r="V38" s="38"/>
      <c r="W38" s="40"/>
      <c r="X38" s="39"/>
      <c r="Y38" s="39"/>
      <c r="Z38" s="38">
        <v>2.5</v>
      </c>
      <c r="AA38" s="38"/>
      <c r="AB38" s="38"/>
      <c r="AC38" s="38"/>
      <c r="AD38" s="38"/>
      <c r="AE38" s="39"/>
      <c r="AF38" s="39"/>
      <c r="AG38" s="38"/>
      <c r="AH38" s="38"/>
      <c r="AI38" s="37">
        <v>1</v>
      </c>
      <c r="AJ38" s="43"/>
      <c r="AK38" s="43"/>
      <c r="AL38" s="43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</row>
    <row r="39" s="24" customFormat="1" ht="21" customHeight="1" spans="1:52">
      <c r="A39" s="36">
        <v>18</v>
      </c>
      <c r="B39" s="35" t="s">
        <v>32</v>
      </c>
      <c r="C39" s="36" t="s">
        <v>69</v>
      </c>
      <c r="D39" s="37" t="s">
        <v>34</v>
      </c>
      <c r="E39" s="44" t="s">
        <v>39</v>
      </c>
      <c r="F39" s="44" t="s">
        <v>39</v>
      </c>
      <c r="G39" s="44" t="s">
        <v>39</v>
      </c>
      <c r="H39" s="44" t="s">
        <v>39</v>
      </c>
      <c r="I39" s="44" t="s">
        <v>39</v>
      </c>
      <c r="J39" s="39" t="s">
        <v>39</v>
      </c>
      <c r="K39" s="39" t="s">
        <v>39</v>
      </c>
      <c r="L39" s="44" t="s">
        <v>39</v>
      </c>
      <c r="M39" s="44" t="s">
        <v>39</v>
      </c>
      <c r="N39" s="44" t="s">
        <v>39</v>
      </c>
      <c r="O39" s="44" t="s">
        <v>39</v>
      </c>
      <c r="P39" s="44" t="s">
        <v>39</v>
      </c>
      <c r="Q39" s="39" t="s">
        <v>39</v>
      </c>
      <c r="R39" s="39" t="s">
        <v>39</v>
      </c>
      <c r="S39" s="44" t="s">
        <v>39</v>
      </c>
      <c r="T39" s="44" t="s">
        <v>39</v>
      </c>
      <c r="U39" s="44" t="s">
        <v>39</v>
      </c>
      <c r="V39" s="44" t="s">
        <v>39</v>
      </c>
      <c r="W39" s="40" t="s">
        <v>39</v>
      </c>
      <c r="X39" s="39" t="s">
        <v>39</v>
      </c>
      <c r="Y39" s="39" t="s">
        <v>39</v>
      </c>
      <c r="Z39" s="44" t="s">
        <v>39</v>
      </c>
      <c r="AA39" s="44" t="s">
        <v>39</v>
      </c>
      <c r="AB39" s="44" t="s">
        <v>39</v>
      </c>
      <c r="AC39" s="44" t="s">
        <v>39</v>
      </c>
      <c r="AD39" s="44" t="s">
        <v>39</v>
      </c>
      <c r="AE39" s="39" t="s">
        <v>39</v>
      </c>
      <c r="AF39" s="39" t="s">
        <v>39</v>
      </c>
      <c r="AG39" s="44" t="s">
        <v>39</v>
      </c>
      <c r="AH39" s="44" t="s">
        <v>39</v>
      </c>
      <c r="AI39" s="37">
        <v>0</v>
      </c>
      <c r="AJ39" s="35">
        <f t="shared" si="30"/>
        <v>0</v>
      </c>
      <c r="AK39" s="35">
        <v>30</v>
      </c>
      <c r="AL39" s="35">
        <f t="shared" si="31"/>
        <v>28</v>
      </c>
      <c r="AM39" s="36">
        <f t="shared" si="32"/>
        <v>77.5</v>
      </c>
      <c r="AN39" s="36">
        <f t="shared" si="33"/>
        <v>12.5</v>
      </c>
      <c r="AO39" s="36">
        <f t="shared" si="34"/>
        <v>168</v>
      </c>
      <c r="AP39" s="36">
        <f t="shared" si="35"/>
        <v>286</v>
      </c>
      <c r="AQ39" s="36">
        <v>0</v>
      </c>
      <c r="AR39" s="36">
        <v>40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</row>
    <row r="40" s="24" customFormat="1" ht="21" customHeight="1" spans="1:52">
      <c r="A40" s="42"/>
      <c r="B40" s="43"/>
      <c r="C40" s="42"/>
      <c r="D40" s="37" t="s">
        <v>37</v>
      </c>
      <c r="E40" s="38"/>
      <c r="F40" s="38">
        <v>3.5</v>
      </c>
      <c r="G40" s="38">
        <v>1.5</v>
      </c>
      <c r="H40" s="38">
        <v>1.5</v>
      </c>
      <c r="I40" s="38"/>
      <c r="J40" s="39">
        <v>8</v>
      </c>
      <c r="K40" s="39">
        <v>8</v>
      </c>
      <c r="L40" s="38">
        <v>1.5</v>
      </c>
      <c r="M40" s="38">
        <v>1.5</v>
      </c>
      <c r="N40" s="38"/>
      <c r="O40" s="38"/>
      <c r="P40" s="38">
        <v>1.5</v>
      </c>
      <c r="Q40" s="39">
        <v>9.5</v>
      </c>
      <c r="R40" s="39">
        <v>9.5</v>
      </c>
      <c r="S40" s="38">
        <v>2.5</v>
      </c>
      <c r="T40" s="38"/>
      <c r="U40" s="38">
        <v>1.5</v>
      </c>
      <c r="V40" s="38">
        <v>4.5</v>
      </c>
      <c r="W40" s="40">
        <v>12.5</v>
      </c>
      <c r="X40" s="39">
        <v>9.5</v>
      </c>
      <c r="Y40" s="39">
        <v>12</v>
      </c>
      <c r="Z40" s="38">
        <v>2.5</v>
      </c>
      <c r="AA40" s="38"/>
      <c r="AB40" s="38">
        <v>3</v>
      </c>
      <c r="AC40" s="38">
        <v>1.5</v>
      </c>
      <c r="AD40" s="38"/>
      <c r="AE40" s="39">
        <v>14</v>
      </c>
      <c r="AF40" s="39">
        <v>7</v>
      </c>
      <c r="AG40" s="38">
        <v>1.5</v>
      </c>
      <c r="AH40" s="38"/>
      <c r="AI40" s="37">
        <v>0</v>
      </c>
      <c r="AJ40" s="43"/>
      <c r="AK40" s="43"/>
      <c r="AL40" s="43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</row>
    <row r="41" s="24" customFormat="1" ht="21" customHeight="1" spans="1:52">
      <c r="A41" s="36">
        <v>19</v>
      </c>
      <c r="B41" s="35" t="s">
        <v>32</v>
      </c>
      <c r="C41" s="36" t="s">
        <v>70</v>
      </c>
      <c r="D41" s="37" t="s">
        <v>34</v>
      </c>
      <c r="E41" s="44" t="s">
        <v>35</v>
      </c>
      <c r="F41" s="44" t="s">
        <v>35</v>
      </c>
      <c r="G41" s="44" t="s">
        <v>35</v>
      </c>
      <c r="H41" s="44" t="s">
        <v>35</v>
      </c>
      <c r="I41" s="44" t="s">
        <v>35</v>
      </c>
      <c r="J41" s="39"/>
      <c r="K41" s="39"/>
      <c r="L41" s="44" t="s">
        <v>35</v>
      </c>
      <c r="M41" s="44" t="s">
        <v>35</v>
      </c>
      <c r="N41" s="44" t="s">
        <v>35</v>
      </c>
      <c r="O41" s="44" t="s">
        <v>35</v>
      </c>
      <c r="P41" s="44" t="s">
        <v>35</v>
      </c>
      <c r="Q41" s="39"/>
      <c r="R41" s="39"/>
      <c r="S41" s="44" t="s">
        <v>35</v>
      </c>
      <c r="T41" s="44" t="s">
        <v>35</v>
      </c>
      <c r="U41" s="44" t="s">
        <v>35</v>
      </c>
      <c r="V41" s="44" t="s">
        <v>71</v>
      </c>
      <c r="W41" s="40" t="s">
        <v>36</v>
      </c>
      <c r="X41" s="39" t="s">
        <v>36</v>
      </c>
      <c r="Y41" s="39" t="s">
        <v>36</v>
      </c>
      <c r="Z41" s="44" t="s">
        <v>35</v>
      </c>
      <c r="AA41" s="44" t="s">
        <v>35</v>
      </c>
      <c r="AB41" s="44" t="s">
        <v>35</v>
      </c>
      <c r="AC41" s="44" t="s">
        <v>35</v>
      </c>
      <c r="AD41" s="44" t="s">
        <v>35</v>
      </c>
      <c r="AE41" s="39" t="s">
        <v>36</v>
      </c>
      <c r="AF41" s="39" t="s">
        <v>36</v>
      </c>
      <c r="AG41" s="44" t="s">
        <v>35</v>
      </c>
      <c r="AH41" s="44" t="s">
        <v>35</v>
      </c>
      <c r="AI41" s="37">
        <v>21</v>
      </c>
      <c r="AJ41" s="35">
        <f t="shared" ref="AJ41:AJ45" si="36">AI41+AI42</f>
        <v>44</v>
      </c>
      <c r="AK41" s="35">
        <v>0</v>
      </c>
      <c r="AL41" s="35">
        <f t="shared" ref="AL41:AL45" si="37">E42+F42+G42+H42+I42+L42+M42+N42+O42+P42+S42+T42+U42+V42+Z42+AA42+AB42+AC42+AD42+AG42+AH42</f>
        <v>73.5</v>
      </c>
      <c r="AM41" s="36">
        <f t="shared" ref="AM41:AM45" si="38">J42+K42+Q42+R42+X42+Y42+AE42+AF42</f>
        <v>29</v>
      </c>
      <c r="AN41" s="36">
        <f t="shared" ref="AN41:AN45" si="39">W42</f>
        <v>0</v>
      </c>
      <c r="AO41" s="36">
        <f t="shared" ref="AO41:AO45" si="40">21*8</f>
        <v>168</v>
      </c>
      <c r="AP41" s="36">
        <f t="shared" ref="AP41:AP45" si="41">AL41+AM41+AN41+AO41-AQ41-AS41-AT41-AV41-AW41-AX41-AY41-AZ41-AU41</f>
        <v>267.5</v>
      </c>
      <c r="AQ41" s="36">
        <v>3</v>
      </c>
      <c r="AR41" s="36">
        <f>24-AQ41</f>
        <v>21</v>
      </c>
      <c r="AS41" s="36">
        <v>0</v>
      </c>
      <c r="AT41" s="36">
        <v>0</v>
      </c>
      <c r="AU41" s="36">
        <v>0</v>
      </c>
      <c r="AV41" s="36">
        <v>0</v>
      </c>
      <c r="AW41" s="36">
        <v>0</v>
      </c>
      <c r="AX41" s="36">
        <v>0</v>
      </c>
      <c r="AY41" s="36">
        <v>0</v>
      </c>
      <c r="AZ41" s="36">
        <v>0</v>
      </c>
    </row>
    <row r="42" s="24" customFormat="1" ht="21" customHeight="1" spans="1:52">
      <c r="A42" s="42"/>
      <c r="B42" s="43"/>
      <c r="C42" s="42"/>
      <c r="D42" s="37" t="s">
        <v>37</v>
      </c>
      <c r="E42" s="38">
        <v>3.5</v>
      </c>
      <c r="F42" s="38">
        <v>3.5</v>
      </c>
      <c r="G42" s="38">
        <v>4</v>
      </c>
      <c r="H42" s="38">
        <v>4</v>
      </c>
      <c r="I42" s="38">
        <v>1.5</v>
      </c>
      <c r="J42" s="39">
        <v>6</v>
      </c>
      <c r="K42" s="39">
        <v>10</v>
      </c>
      <c r="L42" s="38">
        <v>5.5</v>
      </c>
      <c r="M42" s="38">
        <v>5.5</v>
      </c>
      <c r="N42" s="38">
        <v>5.5</v>
      </c>
      <c r="O42" s="38">
        <v>8</v>
      </c>
      <c r="P42" s="38"/>
      <c r="Q42" s="39">
        <v>8</v>
      </c>
      <c r="R42" s="39">
        <v>5</v>
      </c>
      <c r="S42" s="38">
        <v>3.5</v>
      </c>
      <c r="T42" s="38">
        <v>3.5</v>
      </c>
      <c r="U42" s="38">
        <v>4</v>
      </c>
      <c r="V42" s="38"/>
      <c r="W42" s="40"/>
      <c r="X42" s="39"/>
      <c r="Y42" s="39"/>
      <c r="Z42" s="38">
        <v>5.5</v>
      </c>
      <c r="AA42" s="38">
        <v>6</v>
      </c>
      <c r="AB42" s="38">
        <v>1.5</v>
      </c>
      <c r="AC42" s="38">
        <v>1.5</v>
      </c>
      <c r="AD42" s="38">
        <v>3</v>
      </c>
      <c r="AE42" s="39"/>
      <c r="AF42" s="39"/>
      <c r="AG42" s="38">
        <v>1.5</v>
      </c>
      <c r="AH42" s="38">
        <v>2.5</v>
      </c>
      <c r="AI42" s="37">
        <v>23</v>
      </c>
      <c r="AJ42" s="43"/>
      <c r="AK42" s="43"/>
      <c r="AL42" s="43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</row>
    <row r="43" s="24" customFormat="1" ht="21" customHeight="1" spans="1:52">
      <c r="A43" s="36">
        <v>20</v>
      </c>
      <c r="B43" s="35" t="s">
        <v>32</v>
      </c>
      <c r="C43" s="36" t="s">
        <v>72</v>
      </c>
      <c r="D43" s="37" t="s">
        <v>34</v>
      </c>
      <c r="E43" s="44" t="s">
        <v>35</v>
      </c>
      <c r="F43" s="44" t="s">
        <v>35</v>
      </c>
      <c r="G43" s="44" t="s">
        <v>35</v>
      </c>
      <c r="H43" s="44" t="s">
        <v>35</v>
      </c>
      <c r="I43" s="44" t="s">
        <v>35</v>
      </c>
      <c r="J43" s="39"/>
      <c r="K43" s="39"/>
      <c r="L43" s="44" t="s">
        <v>35</v>
      </c>
      <c r="M43" s="44" t="s">
        <v>35</v>
      </c>
      <c r="N43" s="44" t="s">
        <v>35</v>
      </c>
      <c r="O43" s="44" t="s">
        <v>35</v>
      </c>
      <c r="P43" s="44" t="s">
        <v>35</v>
      </c>
      <c r="Q43" s="39" t="s">
        <v>36</v>
      </c>
      <c r="R43" s="39"/>
      <c r="S43" s="44" t="s">
        <v>35</v>
      </c>
      <c r="T43" s="44" t="s">
        <v>35</v>
      </c>
      <c r="U43" s="44" t="s">
        <v>35</v>
      </c>
      <c r="V43" s="44" t="s">
        <v>46</v>
      </c>
      <c r="W43" s="40"/>
      <c r="X43" s="39"/>
      <c r="Y43" s="39"/>
      <c r="Z43" s="44" t="s">
        <v>35</v>
      </c>
      <c r="AA43" s="44" t="s">
        <v>35</v>
      </c>
      <c r="AB43" s="44" t="s">
        <v>35</v>
      </c>
      <c r="AC43" s="44" t="s">
        <v>35</v>
      </c>
      <c r="AD43" s="44" t="s">
        <v>35</v>
      </c>
      <c r="AE43" s="39"/>
      <c r="AF43" s="39" t="s">
        <v>36</v>
      </c>
      <c r="AG43" s="44" t="s">
        <v>35</v>
      </c>
      <c r="AH43" s="44" t="s">
        <v>73</v>
      </c>
      <c r="AI43" s="37">
        <v>20</v>
      </c>
      <c r="AJ43" s="35">
        <f t="shared" si="36"/>
        <v>47</v>
      </c>
      <c r="AK43" s="35">
        <v>0</v>
      </c>
      <c r="AL43" s="35">
        <f t="shared" si="37"/>
        <v>35</v>
      </c>
      <c r="AM43" s="36">
        <f t="shared" si="38"/>
        <v>59.5</v>
      </c>
      <c r="AN43" s="36">
        <f t="shared" si="39"/>
        <v>8</v>
      </c>
      <c r="AO43" s="36">
        <f t="shared" si="40"/>
        <v>168</v>
      </c>
      <c r="AP43" s="36">
        <f t="shared" si="41"/>
        <v>265</v>
      </c>
      <c r="AQ43" s="36">
        <v>5.5</v>
      </c>
      <c r="AR43" s="36">
        <f>53.5-AQ43</f>
        <v>48</v>
      </c>
      <c r="AS43" s="36">
        <v>0</v>
      </c>
      <c r="AT43" s="36">
        <v>0</v>
      </c>
      <c r="AU43" s="36">
        <v>0</v>
      </c>
      <c r="AV43" s="36">
        <v>0</v>
      </c>
      <c r="AW43" s="36">
        <v>0</v>
      </c>
      <c r="AX43" s="36">
        <v>0</v>
      </c>
      <c r="AY43" s="36">
        <v>0</v>
      </c>
      <c r="AZ43" s="36">
        <v>0</v>
      </c>
    </row>
    <row r="44" s="24" customFormat="1" ht="21" customHeight="1" spans="1:52">
      <c r="A44" s="42"/>
      <c r="B44" s="43"/>
      <c r="C44" s="42"/>
      <c r="D44" s="37" t="s">
        <v>37</v>
      </c>
      <c r="E44" s="38">
        <v>2.5</v>
      </c>
      <c r="F44" s="38"/>
      <c r="G44" s="38">
        <v>2</v>
      </c>
      <c r="H44" s="38">
        <v>4</v>
      </c>
      <c r="I44" s="38">
        <v>1.5</v>
      </c>
      <c r="J44" s="39">
        <v>9.5</v>
      </c>
      <c r="K44" s="39">
        <v>10</v>
      </c>
      <c r="L44" s="38"/>
      <c r="M44" s="38">
        <v>4</v>
      </c>
      <c r="N44" s="38">
        <v>2</v>
      </c>
      <c r="O44" s="38">
        <v>2</v>
      </c>
      <c r="P44" s="38">
        <v>3</v>
      </c>
      <c r="Q44" s="39"/>
      <c r="R44" s="39">
        <v>12</v>
      </c>
      <c r="S44" s="38">
        <v>1.5</v>
      </c>
      <c r="T44" s="38">
        <v>2</v>
      </c>
      <c r="U44" s="38">
        <v>1.5</v>
      </c>
      <c r="V44" s="38"/>
      <c r="W44" s="40">
        <v>8</v>
      </c>
      <c r="X44" s="39">
        <v>9.5</v>
      </c>
      <c r="Y44" s="39">
        <v>8.5</v>
      </c>
      <c r="Z44" s="38">
        <v>1.5</v>
      </c>
      <c r="AA44" s="38">
        <v>2</v>
      </c>
      <c r="AB44" s="38"/>
      <c r="AC44" s="38"/>
      <c r="AD44" s="38">
        <v>4</v>
      </c>
      <c r="AE44" s="39">
        <v>10</v>
      </c>
      <c r="AF44" s="39"/>
      <c r="AG44" s="38">
        <v>1.5</v>
      </c>
      <c r="AH44" s="38"/>
      <c r="AI44" s="37">
        <v>27</v>
      </c>
      <c r="AJ44" s="43"/>
      <c r="AK44" s="43"/>
      <c r="AL44" s="43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</row>
    <row r="45" s="24" customFormat="1" ht="21" customHeight="1" spans="1:52">
      <c r="A45" s="36">
        <v>21</v>
      </c>
      <c r="B45" s="35" t="s">
        <v>32</v>
      </c>
      <c r="C45" s="36" t="s">
        <v>74</v>
      </c>
      <c r="D45" s="37" t="s">
        <v>34</v>
      </c>
      <c r="E45" s="44" t="s">
        <v>35</v>
      </c>
      <c r="F45" s="44" t="s">
        <v>35</v>
      </c>
      <c r="G45" s="44" t="s">
        <v>35</v>
      </c>
      <c r="H45" s="44" t="s">
        <v>35</v>
      </c>
      <c r="I45" s="44" t="s">
        <v>35</v>
      </c>
      <c r="J45" s="39" t="s">
        <v>36</v>
      </c>
      <c r="K45" s="39"/>
      <c r="L45" s="44" t="s">
        <v>35</v>
      </c>
      <c r="M45" s="44" t="s">
        <v>35</v>
      </c>
      <c r="N45" s="44" t="s">
        <v>35</v>
      </c>
      <c r="O45" s="44" t="s">
        <v>35</v>
      </c>
      <c r="P45" s="44" t="s">
        <v>35</v>
      </c>
      <c r="Q45" s="39"/>
      <c r="R45" s="39"/>
      <c r="S45" s="44" t="s">
        <v>35</v>
      </c>
      <c r="T45" s="44" t="s">
        <v>35</v>
      </c>
      <c r="U45" s="44" t="s">
        <v>35</v>
      </c>
      <c r="V45" s="44" t="s">
        <v>39</v>
      </c>
      <c r="W45" s="40" t="s">
        <v>36</v>
      </c>
      <c r="X45" s="39"/>
      <c r="Y45" s="39"/>
      <c r="Z45" s="44" t="s">
        <v>39</v>
      </c>
      <c r="AA45" s="44" t="s">
        <v>39</v>
      </c>
      <c r="AB45" s="44" t="s">
        <v>35</v>
      </c>
      <c r="AC45" s="44" t="s">
        <v>35</v>
      </c>
      <c r="AD45" s="44" t="s">
        <v>35</v>
      </c>
      <c r="AE45" s="39"/>
      <c r="AF45" s="39"/>
      <c r="AG45" s="44" t="s">
        <v>35</v>
      </c>
      <c r="AH45" s="44" t="s">
        <v>35</v>
      </c>
      <c r="AI45" s="37">
        <v>18</v>
      </c>
      <c r="AJ45" s="35">
        <f t="shared" si="36"/>
        <v>43</v>
      </c>
      <c r="AK45" s="35">
        <v>3</v>
      </c>
      <c r="AL45" s="35">
        <f t="shared" si="37"/>
        <v>36.5</v>
      </c>
      <c r="AM45" s="36">
        <f t="shared" si="38"/>
        <v>66.5</v>
      </c>
      <c r="AN45" s="36">
        <f t="shared" si="39"/>
        <v>0</v>
      </c>
      <c r="AO45" s="36">
        <f t="shared" si="40"/>
        <v>168</v>
      </c>
      <c r="AP45" s="36">
        <f t="shared" si="41"/>
        <v>271</v>
      </c>
      <c r="AQ45" s="36">
        <v>0</v>
      </c>
      <c r="AR45" s="36">
        <v>44.5</v>
      </c>
      <c r="AS45" s="36">
        <v>0</v>
      </c>
      <c r="AT45" s="36">
        <v>0</v>
      </c>
      <c r="AU45" s="36">
        <v>0</v>
      </c>
      <c r="AV45" s="36">
        <v>0</v>
      </c>
      <c r="AW45" s="36">
        <v>0</v>
      </c>
      <c r="AX45" s="36">
        <v>0</v>
      </c>
      <c r="AY45" s="36">
        <v>0</v>
      </c>
      <c r="AZ45" s="36">
        <v>0</v>
      </c>
    </row>
    <row r="46" s="24" customFormat="1" ht="21" customHeight="1" spans="1:52">
      <c r="A46" s="42"/>
      <c r="B46" s="43"/>
      <c r="C46" s="42"/>
      <c r="D46" s="37" t="s">
        <v>37</v>
      </c>
      <c r="E46" s="38">
        <v>2</v>
      </c>
      <c r="F46" s="38">
        <v>2</v>
      </c>
      <c r="G46" s="38">
        <v>2</v>
      </c>
      <c r="H46" s="38">
        <v>1.5</v>
      </c>
      <c r="I46" s="38">
        <v>1</v>
      </c>
      <c r="J46" s="39"/>
      <c r="K46" s="39">
        <v>10</v>
      </c>
      <c r="L46" s="38">
        <v>2.5</v>
      </c>
      <c r="M46" s="38">
        <v>2</v>
      </c>
      <c r="N46" s="38"/>
      <c r="O46" s="38">
        <v>1.5</v>
      </c>
      <c r="P46" s="38"/>
      <c r="Q46" s="39">
        <v>9.5</v>
      </c>
      <c r="R46" s="39">
        <v>12</v>
      </c>
      <c r="S46" s="38">
        <v>3.5</v>
      </c>
      <c r="T46" s="38"/>
      <c r="U46" s="38">
        <v>3</v>
      </c>
      <c r="V46" s="38">
        <v>1.5</v>
      </c>
      <c r="W46" s="40"/>
      <c r="X46" s="39">
        <v>10.5</v>
      </c>
      <c r="Y46" s="39">
        <v>8.5</v>
      </c>
      <c r="Z46" s="38"/>
      <c r="AA46" s="38">
        <v>3.5</v>
      </c>
      <c r="AB46" s="38">
        <v>2.5</v>
      </c>
      <c r="AC46" s="38">
        <v>2.5</v>
      </c>
      <c r="AD46" s="38">
        <v>1</v>
      </c>
      <c r="AE46" s="39">
        <v>8</v>
      </c>
      <c r="AF46" s="39">
        <v>8</v>
      </c>
      <c r="AG46" s="38">
        <v>2</v>
      </c>
      <c r="AH46" s="38">
        <v>2.5</v>
      </c>
      <c r="AI46" s="37">
        <v>25</v>
      </c>
      <c r="AJ46" s="43"/>
      <c r="AK46" s="43"/>
      <c r="AL46" s="43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</row>
    <row r="47" s="24" customFormat="1" ht="21" customHeight="1" spans="1:52">
      <c r="A47" s="36">
        <v>22</v>
      </c>
      <c r="B47" s="35" t="s">
        <v>32</v>
      </c>
      <c r="C47" s="36" t="s">
        <v>75</v>
      </c>
      <c r="D47" s="37" t="s">
        <v>34</v>
      </c>
      <c r="E47" s="44" t="s">
        <v>35</v>
      </c>
      <c r="F47" s="44" t="s">
        <v>35</v>
      </c>
      <c r="G47" s="44" t="s">
        <v>35</v>
      </c>
      <c r="H47" s="44" t="s">
        <v>35</v>
      </c>
      <c r="I47" s="44" t="s">
        <v>35</v>
      </c>
      <c r="J47" s="39" t="s">
        <v>36</v>
      </c>
      <c r="K47" s="39" t="s">
        <v>36</v>
      </c>
      <c r="L47" s="44" t="s">
        <v>35</v>
      </c>
      <c r="M47" s="44" t="s">
        <v>39</v>
      </c>
      <c r="N47" s="44" t="s">
        <v>39</v>
      </c>
      <c r="O47" s="44" t="s">
        <v>39</v>
      </c>
      <c r="P47" s="44" t="s">
        <v>39</v>
      </c>
      <c r="Q47" s="39" t="s">
        <v>36</v>
      </c>
      <c r="R47" s="39" t="s">
        <v>36</v>
      </c>
      <c r="S47" s="44" t="s">
        <v>35</v>
      </c>
      <c r="T47" s="44" t="s">
        <v>35</v>
      </c>
      <c r="U47" s="44" t="s">
        <v>35</v>
      </c>
      <c r="V47" s="44" t="s">
        <v>35</v>
      </c>
      <c r="W47" s="40" t="s">
        <v>36</v>
      </c>
      <c r="X47" s="39" t="s">
        <v>36</v>
      </c>
      <c r="Y47" s="39" t="s">
        <v>36</v>
      </c>
      <c r="Z47" s="44" t="s">
        <v>35</v>
      </c>
      <c r="AA47" s="44" t="s">
        <v>35</v>
      </c>
      <c r="AB47" s="44" t="s">
        <v>35</v>
      </c>
      <c r="AC47" s="44" t="s">
        <v>35</v>
      </c>
      <c r="AD47" s="44" t="s">
        <v>35</v>
      </c>
      <c r="AE47" s="39" t="s">
        <v>36</v>
      </c>
      <c r="AF47" s="39" t="s">
        <v>39</v>
      </c>
      <c r="AG47" s="44" t="s">
        <v>39</v>
      </c>
      <c r="AH47" s="44" t="s">
        <v>35</v>
      </c>
      <c r="AI47" s="37">
        <v>16</v>
      </c>
      <c r="AJ47" s="35">
        <f t="shared" ref="AJ47:AJ51" si="42">AI47+AI48</f>
        <v>28</v>
      </c>
      <c r="AK47" s="35">
        <v>6</v>
      </c>
      <c r="AL47" s="35">
        <f t="shared" ref="AL47:AL51" si="43">E48+F48+G48+H48+I48+L48+M48+N48+O48+P48+S48+T48+U48+V48+Z48+AA48+AB48+AC48+AD48+AG48+AH48</f>
        <v>0</v>
      </c>
      <c r="AM47" s="36">
        <f t="shared" ref="AM47:AM51" si="44">J48+K48+Q48+R48+X48+Y48+AE48+AF48</f>
        <v>0</v>
      </c>
      <c r="AN47" s="36">
        <f t="shared" ref="AN47:AN51" si="45">W48</f>
        <v>0</v>
      </c>
      <c r="AO47" s="36">
        <f t="shared" ref="AO47:AO51" si="46">21*8</f>
        <v>168</v>
      </c>
      <c r="AP47" s="36">
        <f t="shared" ref="AP47:AP51" si="47">AL47+AM47+AN47+AO47-AQ47-AS47-AT47-AV47-AW47-AX47-AY47-AZ47-AU47</f>
        <v>168</v>
      </c>
      <c r="AQ47" s="36">
        <v>0</v>
      </c>
      <c r="AR47" s="36">
        <v>28</v>
      </c>
      <c r="AS47" s="36">
        <v>0</v>
      </c>
      <c r="AT47" s="36">
        <v>0</v>
      </c>
      <c r="AU47" s="36">
        <v>0</v>
      </c>
      <c r="AV47" s="36">
        <v>0</v>
      </c>
      <c r="AW47" s="36">
        <v>0</v>
      </c>
      <c r="AX47" s="36">
        <v>0</v>
      </c>
      <c r="AY47" s="36">
        <v>0</v>
      </c>
      <c r="AZ47" s="36">
        <v>0</v>
      </c>
    </row>
    <row r="48" s="24" customFormat="1" ht="21" customHeight="1" spans="1:52">
      <c r="A48" s="42"/>
      <c r="B48" s="43"/>
      <c r="C48" s="42"/>
      <c r="D48" s="37" t="s">
        <v>37</v>
      </c>
      <c r="E48" s="38"/>
      <c r="F48" s="38"/>
      <c r="G48" s="38"/>
      <c r="H48" s="38"/>
      <c r="I48" s="38"/>
      <c r="J48" s="39"/>
      <c r="K48" s="39"/>
      <c r="L48" s="38"/>
      <c r="M48" s="38"/>
      <c r="N48" s="38"/>
      <c r="O48" s="38"/>
      <c r="P48" s="38"/>
      <c r="Q48" s="39"/>
      <c r="R48" s="39"/>
      <c r="S48" s="38"/>
      <c r="T48" s="38"/>
      <c r="U48" s="38"/>
      <c r="V48" s="38"/>
      <c r="W48" s="40"/>
      <c r="X48" s="39"/>
      <c r="Y48" s="39"/>
      <c r="Z48" s="38"/>
      <c r="AA48" s="38"/>
      <c r="AB48" s="38"/>
      <c r="AC48" s="38"/>
      <c r="AD48" s="38"/>
      <c r="AE48" s="39"/>
      <c r="AF48" s="39"/>
      <c r="AG48" s="38"/>
      <c r="AH48" s="38"/>
      <c r="AI48" s="37">
        <v>12</v>
      </c>
      <c r="AJ48" s="43"/>
      <c r="AK48" s="43"/>
      <c r="AL48" s="43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</row>
    <row r="49" s="24" customFormat="1" ht="21" customHeight="1" spans="1:52">
      <c r="A49" s="36">
        <v>23</v>
      </c>
      <c r="B49" s="35" t="s">
        <v>32</v>
      </c>
      <c r="C49" s="36" t="s">
        <v>76</v>
      </c>
      <c r="D49" s="37" t="s">
        <v>34</v>
      </c>
      <c r="E49" s="44" t="s">
        <v>35</v>
      </c>
      <c r="F49" s="44" t="s">
        <v>35</v>
      </c>
      <c r="G49" s="44" t="s">
        <v>35</v>
      </c>
      <c r="H49" s="44" t="s">
        <v>35</v>
      </c>
      <c r="I49" s="44" t="s">
        <v>35</v>
      </c>
      <c r="J49" s="39"/>
      <c r="K49" s="39"/>
      <c r="L49" s="44" t="s">
        <v>35</v>
      </c>
      <c r="M49" s="44" t="s">
        <v>35</v>
      </c>
      <c r="N49" s="44" t="s">
        <v>35</v>
      </c>
      <c r="O49" s="44" t="s">
        <v>35</v>
      </c>
      <c r="P49" s="44" t="s">
        <v>35</v>
      </c>
      <c r="Q49" s="39"/>
      <c r="R49" s="39"/>
      <c r="S49" s="44" t="s">
        <v>35</v>
      </c>
      <c r="T49" s="44" t="s">
        <v>35</v>
      </c>
      <c r="U49" s="44" t="s">
        <v>35</v>
      </c>
      <c r="V49" s="44" t="s">
        <v>35</v>
      </c>
      <c r="W49" s="40"/>
      <c r="X49" s="39"/>
      <c r="Y49" s="39"/>
      <c r="Z49" s="44" t="s">
        <v>35</v>
      </c>
      <c r="AA49" s="44" t="s">
        <v>35</v>
      </c>
      <c r="AB49" s="44" t="s">
        <v>39</v>
      </c>
      <c r="AC49" s="44" t="s">
        <v>39</v>
      </c>
      <c r="AD49" s="44" t="s">
        <v>39</v>
      </c>
      <c r="AE49" s="39"/>
      <c r="AF49" s="39" t="s">
        <v>39</v>
      </c>
      <c r="AG49" s="44" t="s">
        <v>39</v>
      </c>
      <c r="AH49" s="44" t="s">
        <v>39</v>
      </c>
      <c r="AI49" s="37">
        <v>16</v>
      </c>
      <c r="AJ49" s="35">
        <f t="shared" si="42"/>
        <v>41</v>
      </c>
      <c r="AK49" s="35">
        <v>6</v>
      </c>
      <c r="AL49" s="35">
        <f t="shared" si="43"/>
        <v>27.5</v>
      </c>
      <c r="AM49" s="36">
        <f t="shared" si="44"/>
        <v>76.5</v>
      </c>
      <c r="AN49" s="36">
        <f t="shared" si="45"/>
        <v>8</v>
      </c>
      <c r="AO49" s="36">
        <f t="shared" si="46"/>
        <v>168</v>
      </c>
      <c r="AP49" s="36">
        <f t="shared" si="47"/>
        <v>280</v>
      </c>
      <c r="AQ49" s="36">
        <v>0</v>
      </c>
      <c r="AR49" s="36">
        <v>80</v>
      </c>
      <c r="AS49" s="36">
        <v>0</v>
      </c>
      <c r="AT49" s="36">
        <v>0</v>
      </c>
      <c r="AU49" s="36">
        <v>0</v>
      </c>
      <c r="AV49" s="36">
        <v>0</v>
      </c>
      <c r="AW49" s="36">
        <v>0</v>
      </c>
      <c r="AX49" s="36">
        <v>0</v>
      </c>
      <c r="AY49" s="36">
        <v>0</v>
      </c>
      <c r="AZ49" s="36">
        <v>0</v>
      </c>
    </row>
    <row r="50" s="24" customFormat="1" ht="21" customHeight="1" spans="1:52">
      <c r="A50" s="42"/>
      <c r="B50" s="43"/>
      <c r="C50" s="42"/>
      <c r="D50" s="37" t="s">
        <v>37</v>
      </c>
      <c r="E50" s="38">
        <v>2</v>
      </c>
      <c r="F50" s="38">
        <v>2</v>
      </c>
      <c r="G50" s="38">
        <v>2</v>
      </c>
      <c r="H50" s="38"/>
      <c r="I50" s="38">
        <v>1.5</v>
      </c>
      <c r="J50" s="39">
        <v>9.5</v>
      </c>
      <c r="K50" s="39">
        <v>9.5</v>
      </c>
      <c r="L50" s="38">
        <v>4</v>
      </c>
      <c r="M50" s="38"/>
      <c r="N50" s="38">
        <v>3</v>
      </c>
      <c r="O50" s="38"/>
      <c r="P50" s="38">
        <v>3</v>
      </c>
      <c r="Q50" s="39">
        <v>10</v>
      </c>
      <c r="R50" s="39">
        <v>12</v>
      </c>
      <c r="S50" s="38">
        <v>1.5</v>
      </c>
      <c r="T50" s="38">
        <v>1.5</v>
      </c>
      <c r="U50" s="38">
        <v>1.5</v>
      </c>
      <c r="V50" s="38"/>
      <c r="W50" s="40">
        <v>8</v>
      </c>
      <c r="X50" s="39">
        <v>9.5</v>
      </c>
      <c r="Y50" s="39">
        <v>8</v>
      </c>
      <c r="Z50" s="38">
        <v>1.5</v>
      </c>
      <c r="AA50" s="38">
        <v>2</v>
      </c>
      <c r="AB50" s="38">
        <v>2</v>
      </c>
      <c r="AC50" s="38"/>
      <c r="AD50" s="38"/>
      <c r="AE50" s="39">
        <v>10</v>
      </c>
      <c r="AF50" s="39">
        <v>8</v>
      </c>
      <c r="AG50" s="38"/>
      <c r="AH50" s="38"/>
      <c r="AI50" s="37">
        <v>25</v>
      </c>
      <c r="AJ50" s="43"/>
      <c r="AK50" s="43"/>
      <c r="AL50" s="43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</row>
    <row r="51" s="24" customFormat="1" ht="21.75" customHeight="1" spans="1:52">
      <c r="A51" s="36">
        <v>24</v>
      </c>
      <c r="B51" s="35" t="s">
        <v>40</v>
      </c>
      <c r="C51" s="36" t="s">
        <v>77</v>
      </c>
      <c r="D51" s="37" t="s">
        <v>34</v>
      </c>
      <c r="E51" s="44" t="s">
        <v>35</v>
      </c>
      <c r="F51" s="44" t="s">
        <v>35</v>
      </c>
      <c r="G51" s="44" t="s">
        <v>67</v>
      </c>
      <c r="H51" s="44" t="s">
        <v>35</v>
      </c>
      <c r="I51" s="44" t="s">
        <v>35</v>
      </c>
      <c r="J51" s="39" t="s">
        <v>36</v>
      </c>
      <c r="K51" s="39" t="s">
        <v>36</v>
      </c>
      <c r="L51" s="44" t="s">
        <v>35</v>
      </c>
      <c r="M51" s="44" t="s">
        <v>35</v>
      </c>
      <c r="N51" s="44" t="s">
        <v>35</v>
      </c>
      <c r="O51" s="44" t="s">
        <v>35</v>
      </c>
      <c r="P51" s="44" t="s">
        <v>67</v>
      </c>
      <c r="Q51" s="39"/>
      <c r="R51" s="39" t="s">
        <v>36</v>
      </c>
      <c r="S51" s="44" t="s">
        <v>35</v>
      </c>
      <c r="T51" s="44" t="s">
        <v>35</v>
      </c>
      <c r="U51" s="44" t="s">
        <v>35</v>
      </c>
      <c r="V51" s="44" t="s">
        <v>35</v>
      </c>
      <c r="W51" s="40" t="s">
        <v>36</v>
      </c>
      <c r="X51" s="39" t="s">
        <v>36</v>
      </c>
      <c r="Y51" s="39" t="s">
        <v>36</v>
      </c>
      <c r="Z51" s="44" t="s">
        <v>78</v>
      </c>
      <c r="AA51" s="44" t="s">
        <v>39</v>
      </c>
      <c r="AB51" s="44" t="s">
        <v>35</v>
      </c>
      <c r="AC51" s="44" t="s">
        <v>79</v>
      </c>
      <c r="AD51" s="44" t="s">
        <v>79</v>
      </c>
      <c r="AE51" s="39" t="s">
        <v>36</v>
      </c>
      <c r="AF51" s="39" t="s">
        <v>36</v>
      </c>
      <c r="AG51" s="44" t="s">
        <v>79</v>
      </c>
      <c r="AH51" s="44" t="s">
        <v>79</v>
      </c>
      <c r="AI51" s="37">
        <v>15</v>
      </c>
      <c r="AJ51" s="35">
        <f t="shared" si="42"/>
        <v>22</v>
      </c>
      <c r="AK51" s="35">
        <v>2</v>
      </c>
      <c r="AL51" s="35">
        <f t="shared" si="43"/>
        <v>26.5</v>
      </c>
      <c r="AM51" s="36">
        <f t="shared" si="44"/>
        <v>4.5</v>
      </c>
      <c r="AN51" s="36">
        <f t="shared" si="45"/>
        <v>0</v>
      </c>
      <c r="AO51" s="36">
        <f t="shared" si="46"/>
        <v>168</v>
      </c>
      <c r="AP51" s="36">
        <f t="shared" si="47"/>
        <v>162.5</v>
      </c>
      <c r="AQ51" s="36">
        <v>0</v>
      </c>
      <c r="AR51" s="36">
        <v>0</v>
      </c>
      <c r="AS51" s="36">
        <v>32</v>
      </c>
      <c r="AT51" s="36">
        <v>4.5</v>
      </c>
      <c r="AU51" s="36">
        <v>0</v>
      </c>
      <c r="AV51" s="36">
        <v>0</v>
      </c>
      <c r="AW51" s="36">
        <v>0</v>
      </c>
      <c r="AX51" s="36">
        <v>0</v>
      </c>
      <c r="AY51" s="36">
        <v>0</v>
      </c>
      <c r="AZ51" s="36">
        <v>0</v>
      </c>
    </row>
    <row r="52" s="24" customFormat="1" ht="21" customHeight="1" spans="1:52">
      <c r="A52" s="42"/>
      <c r="B52" s="43"/>
      <c r="C52" s="42"/>
      <c r="D52" s="37" t="s">
        <v>37</v>
      </c>
      <c r="E52" s="38">
        <v>3</v>
      </c>
      <c r="F52" s="38">
        <v>1</v>
      </c>
      <c r="G52" s="38">
        <v>2</v>
      </c>
      <c r="H52" s="38"/>
      <c r="I52" s="38">
        <v>1</v>
      </c>
      <c r="J52" s="39"/>
      <c r="K52" s="39"/>
      <c r="L52" s="38">
        <v>1</v>
      </c>
      <c r="M52" s="38">
        <v>2.5</v>
      </c>
      <c r="N52" s="38">
        <v>1</v>
      </c>
      <c r="O52" s="38">
        <v>2.5</v>
      </c>
      <c r="P52" s="38">
        <v>1.5</v>
      </c>
      <c r="Q52" s="39">
        <v>4.5</v>
      </c>
      <c r="R52" s="39"/>
      <c r="S52" s="38">
        <v>1.5</v>
      </c>
      <c r="T52" s="38">
        <v>1.5</v>
      </c>
      <c r="U52" s="38">
        <v>2.5</v>
      </c>
      <c r="V52" s="38"/>
      <c r="W52" s="40"/>
      <c r="X52" s="39"/>
      <c r="Y52" s="39"/>
      <c r="Z52" s="38">
        <v>3.5</v>
      </c>
      <c r="AA52" s="38">
        <v>2</v>
      </c>
      <c r="AB52" s="38"/>
      <c r="AC52" s="38"/>
      <c r="AD52" s="38"/>
      <c r="AE52" s="39"/>
      <c r="AF52" s="39"/>
      <c r="AG52" s="38"/>
      <c r="AH52" s="38"/>
      <c r="AI52" s="37">
        <v>7</v>
      </c>
      <c r="AJ52" s="43"/>
      <c r="AK52" s="43"/>
      <c r="AL52" s="43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</row>
    <row r="53" s="24" customFormat="1" ht="21.75" customHeight="1" spans="1:52">
      <c r="A53" s="36">
        <v>25</v>
      </c>
      <c r="B53" s="35" t="s">
        <v>40</v>
      </c>
      <c r="C53" s="36" t="s">
        <v>80</v>
      </c>
      <c r="D53" s="37" t="s">
        <v>34</v>
      </c>
      <c r="E53" s="44" t="s">
        <v>39</v>
      </c>
      <c r="F53" s="44" t="s">
        <v>39</v>
      </c>
      <c r="G53" s="44" t="s">
        <v>39</v>
      </c>
      <c r="H53" s="44" t="s">
        <v>39</v>
      </c>
      <c r="I53" s="44" t="s">
        <v>39</v>
      </c>
      <c r="J53" s="39" t="s">
        <v>39</v>
      </c>
      <c r="K53" s="39" t="s">
        <v>39</v>
      </c>
      <c r="L53" s="44" t="s">
        <v>39</v>
      </c>
      <c r="M53" s="44" t="s">
        <v>39</v>
      </c>
      <c r="N53" s="44" t="s">
        <v>39</v>
      </c>
      <c r="O53" s="44" t="s">
        <v>39</v>
      </c>
      <c r="P53" s="44" t="s">
        <v>39</v>
      </c>
      <c r="Q53" s="39" t="s">
        <v>39</v>
      </c>
      <c r="R53" s="39" t="s">
        <v>39</v>
      </c>
      <c r="S53" s="44" t="s">
        <v>81</v>
      </c>
      <c r="T53" s="44" t="s">
        <v>39</v>
      </c>
      <c r="U53" s="44" t="s">
        <v>39</v>
      </c>
      <c r="V53" s="44" t="s">
        <v>39</v>
      </c>
      <c r="W53" s="40" t="s">
        <v>39</v>
      </c>
      <c r="X53" s="39" t="s">
        <v>39</v>
      </c>
      <c r="Y53" s="39" t="s">
        <v>39</v>
      </c>
      <c r="Z53" s="44" t="s">
        <v>39</v>
      </c>
      <c r="AA53" s="44" t="s">
        <v>39</v>
      </c>
      <c r="AB53" s="44" t="s">
        <v>39</v>
      </c>
      <c r="AC53" s="44" t="s">
        <v>39</v>
      </c>
      <c r="AD53" s="44" t="s">
        <v>39</v>
      </c>
      <c r="AE53" s="39" t="s">
        <v>39</v>
      </c>
      <c r="AF53" s="39" t="s">
        <v>39</v>
      </c>
      <c r="AG53" s="44" t="s">
        <v>39</v>
      </c>
      <c r="AH53" s="44" t="s">
        <v>39</v>
      </c>
      <c r="AI53" s="37">
        <v>0</v>
      </c>
      <c r="AJ53" s="35">
        <f t="shared" ref="AJ53:AJ57" si="48">AI53+AI54</f>
        <v>0</v>
      </c>
      <c r="AK53" s="35">
        <v>30</v>
      </c>
      <c r="AL53" s="35">
        <f t="shared" ref="AL53:AL57" si="49">E54+F54+G54+H54+I54+L54+M54+N54+O54+P54+S54+T54+U54+V54+Z54+AA54+AB54+AC54+AD54+AG54+AH54</f>
        <v>96</v>
      </c>
      <c r="AM53" s="36">
        <f t="shared" ref="AM53:AM57" si="50">J54+K54+Q54+R54+X54+Y54+AE54+AF54</f>
        <v>64</v>
      </c>
      <c r="AN53" s="36">
        <f t="shared" ref="AN53:AN57" si="51">W54</f>
        <v>10</v>
      </c>
      <c r="AO53" s="36">
        <f t="shared" ref="AO53:AO57" si="52">21*8</f>
        <v>168</v>
      </c>
      <c r="AP53" s="36">
        <f t="shared" ref="AP53:AP57" si="53">AL53+AM53+AN53+AO53-AQ53-AS53-AT53-AV53-AW53-AX53-AY53-AZ53-AU53</f>
        <v>336.5</v>
      </c>
      <c r="AQ53" s="36">
        <v>0</v>
      </c>
      <c r="AR53" s="36">
        <v>0</v>
      </c>
      <c r="AS53" s="36">
        <v>0</v>
      </c>
      <c r="AT53" s="36">
        <v>1.5</v>
      </c>
      <c r="AU53" s="36">
        <v>0</v>
      </c>
      <c r="AV53" s="36">
        <v>0</v>
      </c>
      <c r="AW53" s="36">
        <v>0</v>
      </c>
      <c r="AX53" s="36">
        <v>0</v>
      </c>
      <c r="AY53" s="36">
        <v>0</v>
      </c>
      <c r="AZ53" s="36">
        <v>0</v>
      </c>
    </row>
    <row r="54" s="24" customFormat="1" ht="21" customHeight="1" spans="1:52">
      <c r="A54" s="42"/>
      <c r="B54" s="43"/>
      <c r="C54" s="42"/>
      <c r="D54" s="37" t="s">
        <v>37</v>
      </c>
      <c r="E54" s="38">
        <v>3.5</v>
      </c>
      <c r="F54" s="38">
        <v>4.5</v>
      </c>
      <c r="G54" s="38">
        <v>5.5</v>
      </c>
      <c r="H54" s="38">
        <v>2</v>
      </c>
      <c r="I54" s="38">
        <v>6</v>
      </c>
      <c r="J54" s="39">
        <v>10.5</v>
      </c>
      <c r="K54" s="39">
        <v>9.5</v>
      </c>
      <c r="L54" s="38">
        <v>4</v>
      </c>
      <c r="M54" s="38">
        <v>5</v>
      </c>
      <c r="N54" s="38">
        <v>5</v>
      </c>
      <c r="O54" s="38">
        <v>4.5</v>
      </c>
      <c r="P54" s="38"/>
      <c r="Q54" s="39">
        <v>8.5</v>
      </c>
      <c r="R54" s="39">
        <v>8.5</v>
      </c>
      <c r="S54" s="38">
        <v>4.5</v>
      </c>
      <c r="T54" s="38">
        <v>4.5</v>
      </c>
      <c r="U54" s="38">
        <v>5.5</v>
      </c>
      <c r="V54" s="38">
        <v>8.5</v>
      </c>
      <c r="W54" s="40">
        <v>10</v>
      </c>
      <c r="X54" s="39"/>
      <c r="Y54" s="39">
        <v>4.5</v>
      </c>
      <c r="Z54" s="38">
        <v>4</v>
      </c>
      <c r="AA54" s="38">
        <v>4</v>
      </c>
      <c r="AB54" s="38">
        <v>6.5</v>
      </c>
      <c r="AC54" s="38">
        <v>4.5</v>
      </c>
      <c r="AD54" s="38">
        <v>6</v>
      </c>
      <c r="AE54" s="39">
        <v>8</v>
      </c>
      <c r="AF54" s="39">
        <v>14.5</v>
      </c>
      <c r="AG54" s="38">
        <v>3</v>
      </c>
      <c r="AH54" s="38">
        <v>5</v>
      </c>
      <c r="AI54" s="37">
        <v>0</v>
      </c>
      <c r="AJ54" s="43"/>
      <c r="AK54" s="43"/>
      <c r="AL54" s="43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</row>
    <row r="55" s="24" customFormat="1" ht="21" customHeight="1" spans="1:52">
      <c r="A55" s="36">
        <v>26</v>
      </c>
      <c r="B55" s="35" t="s">
        <v>32</v>
      </c>
      <c r="C55" s="36" t="s">
        <v>82</v>
      </c>
      <c r="D55" s="37" t="s">
        <v>34</v>
      </c>
      <c r="E55" s="44" t="s">
        <v>35</v>
      </c>
      <c r="F55" s="44" t="s">
        <v>39</v>
      </c>
      <c r="G55" s="44" t="s">
        <v>35</v>
      </c>
      <c r="H55" s="44" t="s">
        <v>39</v>
      </c>
      <c r="I55" s="44" t="s">
        <v>39</v>
      </c>
      <c r="J55" s="39"/>
      <c r="K55" s="39" t="s">
        <v>36</v>
      </c>
      <c r="L55" s="44" t="s">
        <v>35</v>
      </c>
      <c r="M55" s="44" t="s">
        <v>35</v>
      </c>
      <c r="N55" s="44" t="s">
        <v>35</v>
      </c>
      <c r="O55" s="44" t="s">
        <v>35</v>
      </c>
      <c r="P55" s="44" t="s">
        <v>35</v>
      </c>
      <c r="Q55" s="39" t="s">
        <v>36</v>
      </c>
      <c r="R55" s="39" t="s">
        <v>36</v>
      </c>
      <c r="S55" s="44" t="s">
        <v>35</v>
      </c>
      <c r="T55" s="44" t="s">
        <v>39</v>
      </c>
      <c r="U55" s="44" t="s">
        <v>35</v>
      </c>
      <c r="V55" s="44" t="s">
        <v>35</v>
      </c>
      <c r="W55" s="40" t="s">
        <v>36</v>
      </c>
      <c r="X55" s="39" t="s">
        <v>36</v>
      </c>
      <c r="Y55" s="39" t="s">
        <v>36</v>
      </c>
      <c r="Z55" s="44" t="s">
        <v>35</v>
      </c>
      <c r="AA55" s="44" t="s">
        <v>35</v>
      </c>
      <c r="AB55" s="44" t="s">
        <v>35</v>
      </c>
      <c r="AC55" s="44" t="s">
        <v>35</v>
      </c>
      <c r="AD55" s="44" t="s">
        <v>35</v>
      </c>
      <c r="AE55" s="39"/>
      <c r="AF55" s="39" t="s">
        <v>36</v>
      </c>
      <c r="AG55" s="44" t="s">
        <v>35</v>
      </c>
      <c r="AH55" s="44" t="s">
        <v>35</v>
      </c>
      <c r="AI55" s="37">
        <v>17</v>
      </c>
      <c r="AJ55" s="35">
        <f t="shared" si="48"/>
        <v>29</v>
      </c>
      <c r="AK55" s="35">
        <v>4</v>
      </c>
      <c r="AL55" s="35">
        <f t="shared" si="49"/>
        <v>0</v>
      </c>
      <c r="AM55" s="36">
        <f t="shared" si="50"/>
        <v>0</v>
      </c>
      <c r="AN55" s="36">
        <f t="shared" si="51"/>
        <v>0</v>
      </c>
      <c r="AO55" s="36">
        <f t="shared" si="52"/>
        <v>168</v>
      </c>
      <c r="AP55" s="36">
        <f t="shared" si="53"/>
        <v>168</v>
      </c>
      <c r="AQ55" s="36">
        <v>0</v>
      </c>
      <c r="AR55" s="36">
        <v>36.5</v>
      </c>
      <c r="AS55" s="36">
        <v>0</v>
      </c>
      <c r="AT55" s="36">
        <v>0</v>
      </c>
      <c r="AU55" s="36">
        <v>0</v>
      </c>
      <c r="AV55" s="36">
        <v>0</v>
      </c>
      <c r="AW55" s="36">
        <v>0</v>
      </c>
      <c r="AX55" s="36">
        <v>0</v>
      </c>
      <c r="AY55" s="36">
        <v>0</v>
      </c>
      <c r="AZ55" s="36">
        <v>0</v>
      </c>
    </row>
    <row r="56" s="24" customFormat="1" ht="21" customHeight="1" spans="1:52">
      <c r="A56" s="42"/>
      <c r="B56" s="43"/>
      <c r="C56" s="42"/>
      <c r="D56" s="37" t="s">
        <v>37</v>
      </c>
      <c r="E56" s="38"/>
      <c r="F56" s="38"/>
      <c r="G56" s="38"/>
      <c r="H56" s="38"/>
      <c r="I56" s="38"/>
      <c r="J56" s="39"/>
      <c r="K56" s="39"/>
      <c r="L56" s="38"/>
      <c r="M56" s="38"/>
      <c r="N56" s="38"/>
      <c r="O56" s="38"/>
      <c r="P56" s="38"/>
      <c r="Q56" s="39"/>
      <c r="R56" s="39"/>
      <c r="S56" s="38"/>
      <c r="T56" s="38"/>
      <c r="U56" s="38"/>
      <c r="V56" s="38"/>
      <c r="W56" s="40"/>
      <c r="X56" s="39"/>
      <c r="Y56" s="39"/>
      <c r="Z56" s="38"/>
      <c r="AA56" s="38"/>
      <c r="AB56" s="38"/>
      <c r="AC56" s="38"/>
      <c r="AD56" s="38"/>
      <c r="AE56" s="39"/>
      <c r="AF56" s="39"/>
      <c r="AG56" s="38"/>
      <c r="AH56" s="38"/>
      <c r="AI56" s="37">
        <v>12</v>
      </c>
      <c r="AJ56" s="43"/>
      <c r="AK56" s="43"/>
      <c r="AL56" s="43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</row>
    <row r="57" s="24" customFormat="1" ht="23.25" customHeight="1" spans="1:52">
      <c r="A57" s="36">
        <v>27</v>
      </c>
      <c r="B57" s="35" t="s">
        <v>40</v>
      </c>
      <c r="C57" s="36" t="s">
        <v>83</v>
      </c>
      <c r="D57" s="37" t="s">
        <v>34</v>
      </c>
      <c r="E57" s="44" t="s">
        <v>35</v>
      </c>
      <c r="F57" s="44" t="s">
        <v>35</v>
      </c>
      <c r="G57" s="44" t="s">
        <v>35</v>
      </c>
      <c r="H57" s="44" t="s">
        <v>35</v>
      </c>
      <c r="I57" s="44" t="s">
        <v>35</v>
      </c>
      <c r="J57" s="39"/>
      <c r="K57" s="39" t="s">
        <v>36</v>
      </c>
      <c r="L57" s="44" t="s">
        <v>50</v>
      </c>
      <c r="M57" s="44" t="s">
        <v>35</v>
      </c>
      <c r="N57" s="44" t="s">
        <v>35</v>
      </c>
      <c r="O57" s="44" t="s">
        <v>35</v>
      </c>
      <c r="P57" s="44" t="s">
        <v>35</v>
      </c>
      <c r="Q57" s="39" t="s">
        <v>36</v>
      </c>
      <c r="R57" s="39"/>
      <c r="S57" s="44" t="s">
        <v>35</v>
      </c>
      <c r="T57" s="44" t="s">
        <v>35</v>
      </c>
      <c r="U57" s="44" t="s">
        <v>35</v>
      </c>
      <c r="V57" s="44" t="s">
        <v>35</v>
      </c>
      <c r="W57" s="40" t="s">
        <v>36</v>
      </c>
      <c r="X57" s="39" t="s">
        <v>36</v>
      </c>
      <c r="Y57" s="39" t="s">
        <v>36</v>
      </c>
      <c r="Z57" s="44" t="s">
        <v>35</v>
      </c>
      <c r="AA57" s="44" t="s">
        <v>35</v>
      </c>
      <c r="AB57" s="44" t="s">
        <v>35</v>
      </c>
      <c r="AC57" s="44" t="s">
        <v>49</v>
      </c>
      <c r="AD57" s="44" t="s">
        <v>50</v>
      </c>
      <c r="AE57" s="39" t="s">
        <v>36</v>
      </c>
      <c r="AF57" s="39" t="s">
        <v>36</v>
      </c>
      <c r="AG57" s="44" t="s">
        <v>35</v>
      </c>
      <c r="AH57" s="44" t="s">
        <v>35</v>
      </c>
      <c r="AI57" s="37">
        <v>18</v>
      </c>
      <c r="AJ57" s="35">
        <f t="shared" si="48"/>
        <v>44</v>
      </c>
      <c r="AK57" s="35">
        <v>0</v>
      </c>
      <c r="AL57" s="35">
        <f t="shared" si="49"/>
        <v>80.5</v>
      </c>
      <c r="AM57" s="36">
        <f t="shared" si="50"/>
        <v>30.5</v>
      </c>
      <c r="AN57" s="36">
        <f t="shared" si="51"/>
        <v>0</v>
      </c>
      <c r="AO57" s="36">
        <f t="shared" si="52"/>
        <v>168</v>
      </c>
      <c r="AP57" s="36">
        <f t="shared" si="53"/>
        <v>259.5</v>
      </c>
      <c r="AQ57" s="36">
        <v>0</v>
      </c>
      <c r="AR57" s="36">
        <v>0</v>
      </c>
      <c r="AS57" s="36">
        <v>0</v>
      </c>
      <c r="AT57" s="36">
        <v>19.5</v>
      </c>
      <c r="AU57" s="36">
        <v>0</v>
      </c>
      <c r="AV57" s="36">
        <v>0</v>
      </c>
      <c r="AW57" s="36">
        <v>0</v>
      </c>
      <c r="AX57" s="36">
        <v>0</v>
      </c>
      <c r="AY57" s="36">
        <v>0</v>
      </c>
      <c r="AZ57" s="36">
        <v>0</v>
      </c>
    </row>
    <row r="58" s="24" customFormat="1" ht="21" customHeight="1" spans="1:52">
      <c r="A58" s="42"/>
      <c r="B58" s="43"/>
      <c r="C58" s="42"/>
      <c r="D58" s="37" t="s">
        <v>37</v>
      </c>
      <c r="E58" s="38">
        <v>6.5</v>
      </c>
      <c r="F58" s="38">
        <v>7</v>
      </c>
      <c r="G58" s="38">
        <v>6</v>
      </c>
      <c r="H58" s="38">
        <v>5.5</v>
      </c>
      <c r="I58" s="38">
        <v>1</v>
      </c>
      <c r="J58" s="39">
        <v>21</v>
      </c>
      <c r="K58" s="39"/>
      <c r="L58" s="38"/>
      <c r="M58" s="38">
        <v>6.5</v>
      </c>
      <c r="N58" s="38">
        <v>8</v>
      </c>
      <c r="O58" s="38">
        <v>8</v>
      </c>
      <c r="P58" s="38">
        <v>11</v>
      </c>
      <c r="Q58" s="39"/>
      <c r="R58" s="39">
        <v>9.5</v>
      </c>
      <c r="S58" s="38">
        <v>3</v>
      </c>
      <c r="T58" s="38">
        <v>1</v>
      </c>
      <c r="U58" s="38">
        <v>1.5</v>
      </c>
      <c r="V58" s="38"/>
      <c r="W58" s="40"/>
      <c r="X58" s="39"/>
      <c r="Y58" s="39"/>
      <c r="Z58" s="38">
        <v>3.5</v>
      </c>
      <c r="AA58" s="38">
        <v>3.5</v>
      </c>
      <c r="AB58" s="38">
        <v>1.5</v>
      </c>
      <c r="AC58" s="38"/>
      <c r="AD58" s="38"/>
      <c r="AE58" s="39"/>
      <c r="AF58" s="39"/>
      <c r="AG58" s="38">
        <v>2.5</v>
      </c>
      <c r="AH58" s="38">
        <v>4.5</v>
      </c>
      <c r="AI58" s="37">
        <v>26</v>
      </c>
      <c r="AJ58" s="43"/>
      <c r="AK58" s="43"/>
      <c r="AL58" s="43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</row>
    <row r="59" s="24" customFormat="1" ht="21" customHeight="1" spans="1:52">
      <c r="A59" s="36">
        <v>28</v>
      </c>
      <c r="B59" s="35" t="s">
        <v>40</v>
      </c>
      <c r="C59" s="36" t="s">
        <v>84</v>
      </c>
      <c r="D59" s="37" t="s">
        <v>34</v>
      </c>
      <c r="E59" s="44" t="s">
        <v>39</v>
      </c>
      <c r="F59" s="44" t="s">
        <v>39</v>
      </c>
      <c r="G59" s="44" t="s">
        <v>39</v>
      </c>
      <c r="H59" s="44" t="s">
        <v>39</v>
      </c>
      <c r="I59" s="44" t="s">
        <v>39</v>
      </c>
      <c r="J59" s="39" t="s">
        <v>39</v>
      </c>
      <c r="K59" s="39" t="s">
        <v>39</v>
      </c>
      <c r="L59" s="44" t="s">
        <v>39</v>
      </c>
      <c r="M59" s="44" t="s">
        <v>39</v>
      </c>
      <c r="N59" s="44" t="s">
        <v>39</v>
      </c>
      <c r="O59" s="44" t="s">
        <v>39</v>
      </c>
      <c r="P59" s="44" t="s">
        <v>39</v>
      </c>
      <c r="Q59" s="39" t="s">
        <v>39</v>
      </c>
      <c r="R59" s="39" t="s">
        <v>39</v>
      </c>
      <c r="S59" s="44" t="s">
        <v>39</v>
      </c>
      <c r="T59" s="44" t="s">
        <v>39</v>
      </c>
      <c r="U59" s="44" t="s">
        <v>39</v>
      </c>
      <c r="V59" s="44" t="s">
        <v>39</v>
      </c>
      <c r="W59" s="40" t="s">
        <v>39</v>
      </c>
      <c r="X59" s="39" t="s">
        <v>39</v>
      </c>
      <c r="Y59" s="39" t="s">
        <v>39</v>
      </c>
      <c r="Z59" s="44" t="s">
        <v>39</v>
      </c>
      <c r="AA59" s="44" t="s">
        <v>39</v>
      </c>
      <c r="AB59" s="44" t="s">
        <v>39</v>
      </c>
      <c r="AC59" s="44" t="s">
        <v>39</v>
      </c>
      <c r="AD59" s="44" t="s">
        <v>39</v>
      </c>
      <c r="AE59" s="39" t="s">
        <v>39</v>
      </c>
      <c r="AF59" s="39" t="s">
        <v>39</v>
      </c>
      <c r="AG59" s="44" t="s">
        <v>39</v>
      </c>
      <c r="AH59" s="44" t="s">
        <v>39</v>
      </c>
      <c r="AI59" s="37">
        <v>0</v>
      </c>
      <c r="AJ59" s="35">
        <f t="shared" ref="AJ59:AJ63" si="54">AI59+AI60</f>
        <v>0</v>
      </c>
      <c r="AK59" s="35">
        <v>30</v>
      </c>
      <c r="AL59" s="35">
        <f t="shared" ref="AL59:AL63" si="55">E60+F60+G60+H60+I60+L60+M60+N60+O60+P60+S60+T60+U60+V60+Z60+AA60+AB60+AC60+AD60+AG60+AH60</f>
        <v>35.5</v>
      </c>
      <c r="AM59" s="36">
        <f t="shared" ref="AM59:AM63" si="56">J60+K60+Q60+R60+X60+Y60+AE60+AF60</f>
        <v>66.5</v>
      </c>
      <c r="AN59" s="36">
        <f t="shared" ref="AN59:AN63" si="57">W60</f>
        <v>14</v>
      </c>
      <c r="AO59" s="36">
        <f t="shared" ref="AO59:AO63" si="58">21*8</f>
        <v>168</v>
      </c>
      <c r="AP59" s="36">
        <f t="shared" ref="AP59:AP63" si="59">AL59+AM59+AN59+AO59-AQ59-AS59-AT59-AV59-AW59-AX59-AY59-AZ59-AU59</f>
        <v>284</v>
      </c>
      <c r="AQ59" s="36">
        <v>0</v>
      </c>
      <c r="AR59" s="36">
        <v>79</v>
      </c>
      <c r="AS59" s="36">
        <v>0</v>
      </c>
      <c r="AT59" s="36">
        <v>0</v>
      </c>
      <c r="AU59" s="36">
        <v>0</v>
      </c>
      <c r="AV59" s="36">
        <v>0</v>
      </c>
      <c r="AW59" s="36">
        <v>0</v>
      </c>
      <c r="AX59" s="36">
        <v>0</v>
      </c>
      <c r="AY59" s="36">
        <v>0</v>
      </c>
      <c r="AZ59" s="36">
        <v>0</v>
      </c>
    </row>
    <row r="60" s="24" customFormat="1" ht="21" customHeight="1" spans="1:52">
      <c r="A60" s="42"/>
      <c r="B60" s="43"/>
      <c r="C60" s="42"/>
      <c r="D60" s="37" t="s">
        <v>37</v>
      </c>
      <c r="E60" s="38">
        <v>1.5</v>
      </c>
      <c r="F60" s="38">
        <v>1.5</v>
      </c>
      <c r="G60" s="38">
        <v>1.5</v>
      </c>
      <c r="H60" s="38">
        <v>1.5</v>
      </c>
      <c r="I60" s="38"/>
      <c r="J60" s="39">
        <v>8</v>
      </c>
      <c r="K60" s="39"/>
      <c r="L60" s="38">
        <v>1.5</v>
      </c>
      <c r="M60" s="38">
        <v>1.5</v>
      </c>
      <c r="N60" s="38">
        <v>1.5</v>
      </c>
      <c r="O60" s="38">
        <v>1.5</v>
      </c>
      <c r="P60" s="38"/>
      <c r="Q60" s="39">
        <v>9</v>
      </c>
      <c r="R60" s="39">
        <v>8</v>
      </c>
      <c r="S60" s="38">
        <v>1.5</v>
      </c>
      <c r="T60" s="38">
        <v>4.5</v>
      </c>
      <c r="U60" s="38">
        <v>1.5</v>
      </c>
      <c r="V60" s="38"/>
      <c r="W60" s="40">
        <v>14</v>
      </c>
      <c r="X60" s="39">
        <v>9.5</v>
      </c>
      <c r="Y60" s="39">
        <v>11.5</v>
      </c>
      <c r="Z60" s="38">
        <v>3</v>
      </c>
      <c r="AA60" s="38">
        <v>1.5</v>
      </c>
      <c r="AB60" s="38">
        <v>3</v>
      </c>
      <c r="AC60" s="38">
        <v>3</v>
      </c>
      <c r="AD60" s="38">
        <v>1.5</v>
      </c>
      <c r="AE60" s="39">
        <v>11</v>
      </c>
      <c r="AF60" s="39">
        <v>9.5</v>
      </c>
      <c r="AG60" s="38">
        <v>1.5</v>
      </c>
      <c r="AH60" s="38">
        <v>2.5</v>
      </c>
      <c r="AI60" s="37">
        <v>0</v>
      </c>
      <c r="AJ60" s="43"/>
      <c r="AK60" s="43"/>
      <c r="AL60" s="43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</row>
    <row r="61" s="24" customFormat="1" ht="21" customHeight="1" spans="1:52">
      <c r="A61" s="36">
        <v>29</v>
      </c>
      <c r="B61" s="35" t="s">
        <v>32</v>
      </c>
      <c r="C61" s="36" t="s">
        <v>85</v>
      </c>
      <c r="D61" s="37" t="s">
        <v>34</v>
      </c>
      <c r="E61" s="44" t="s">
        <v>54</v>
      </c>
      <c r="F61" s="44" t="s">
        <v>54</v>
      </c>
      <c r="G61" s="44" t="s">
        <v>35</v>
      </c>
      <c r="H61" s="44" t="s">
        <v>35</v>
      </c>
      <c r="I61" s="44" t="s">
        <v>39</v>
      </c>
      <c r="J61" s="39" t="s">
        <v>39</v>
      </c>
      <c r="K61" s="39" t="s">
        <v>39</v>
      </c>
      <c r="L61" s="44" t="s">
        <v>39</v>
      </c>
      <c r="M61" s="44" t="s">
        <v>39</v>
      </c>
      <c r="N61" s="44" t="s">
        <v>39</v>
      </c>
      <c r="O61" s="44" t="s">
        <v>39</v>
      </c>
      <c r="P61" s="44" t="s">
        <v>39</v>
      </c>
      <c r="Q61" s="39" t="s">
        <v>39</v>
      </c>
      <c r="R61" s="39" t="s">
        <v>39</v>
      </c>
      <c r="S61" s="44" t="s">
        <v>39</v>
      </c>
      <c r="T61" s="44" t="s">
        <v>39</v>
      </c>
      <c r="U61" s="44" t="s">
        <v>39</v>
      </c>
      <c r="V61" s="44" t="s">
        <v>86</v>
      </c>
      <c r="W61" s="40" t="s">
        <v>36</v>
      </c>
      <c r="X61" s="39" t="s">
        <v>36</v>
      </c>
      <c r="Y61" s="39" t="s">
        <v>36</v>
      </c>
      <c r="Z61" s="44" t="s">
        <v>39</v>
      </c>
      <c r="AA61" s="44" t="s">
        <v>39</v>
      </c>
      <c r="AB61" s="44" t="s">
        <v>39</v>
      </c>
      <c r="AC61" s="44" t="s">
        <v>39</v>
      </c>
      <c r="AD61" s="44" t="s">
        <v>39</v>
      </c>
      <c r="AE61" s="39" t="s">
        <v>39</v>
      </c>
      <c r="AF61" s="39" t="s">
        <v>39</v>
      </c>
      <c r="AG61" s="44" t="s">
        <v>39</v>
      </c>
      <c r="AH61" s="44" t="s">
        <v>39</v>
      </c>
      <c r="AI61" s="37">
        <v>2</v>
      </c>
      <c r="AJ61" s="35">
        <f t="shared" si="54"/>
        <v>3</v>
      </c>
      <c r="AK61" s="35">
        <v>23</v>
      </c>
      <c r="AL61" s="35">
        <f t="shared" si="55"/>
        <v>41</v>
      </c>
      <c r="AM61" s="36">
        <f t="shared" si="56"/>
        <v>56.5</v>
      </c>
      <c r="AN61" s="36">
        <f t="shared" si="57"/>
        <v>0</v>
      </c>
      <c r="AO61" s="36">
        <f t="shared" si="58"/>
        <v>168</v>
      </c>
      <c r="AP61" s="36">
        <f t="shared" si="59"/>
        <v>248.5</v>
      </c>
      <c r="AQ61" s="36">
        <v>17</v>
      </c>
      <c r="AR61" s="36">
        <f>36-AQ61</f>
        <v>19</v>
      </c>
      <c r="AS61" s="36">
        <v>0</v>
      </c>
      <c r="AT61" s="36">
        <v>0</v>
      </c>
      <c r="AU61" s="36">
        <v>0</v>
      </c>
      <c r="AV61" s="36">
        <v>0</v>
      </c>
      <c r="AW61" s="36">
        <v>0</v>
      </c>
      <c r="AX61" s="36">
        <v>0</v>
      </c>
      <c r="AY61" s="36">
        <v>0</v>
      </c>
      <c r="AZ61" s="36">
        <v>0</v>
      </c>
    </row>
    <row r="62" s="24" customFormat="1" ht="21" customHeight="1" spans="1:52">
      <c r="A62" s="42"/>
      <c r="B62" s="43"/>
      <c r="C62" s="42"/>
      <c r="D62" s="37" t="s">
        <v>37</v>
      </c>
      <c r="E62" s="38"/>
      <c r="F62" s="38">
        <v>2.5</v>
      </c>
      <c r="G62" s="38">
        <v>1</v>
      </c>
      <c r="H62" s="38"/>
      <c r="I62" s="38">
        <v>5</v>
      </c>
      <c r="J62" s="39">
        <v>12</v>
      </c>
      <c r="K62" s="39">
        <v>11</v>
      </c>
      <c r="L62" s="38">
        <v>3</v>
      </c>
      <c r="M62" s="38">
        <v>3</v>
      </c>
      <c r="N62" s="38">
        <v>5.5</v>
      </c>
      <c r="O62" s="38"/>
      <c r="P62" s="38">
        <v>3</v>
      </c>
      <c r="Q62" s="39">
        <v>8</v>
      </c>
      <c r="R62" s="39">
        <v>8.5</v>
      </c>
      <c r="S62" s="38"/>
      <c r="T62" s="38">
        <v>1.5</v>
      </c>
      <c r="U62" s="38">
        <v>3</v>
      </c>
      <c r="V62" s="38"/>
      <c r="W62" s="40"/>
      <c r="X62" s="39"/>
      <c r="Y62" s="39"/>
      <c r="Z62" s="38">
        <v>1.5</v>
      </c>
      <c r="AA62" s="38">
        <v>2.5</v>
      </c>
      <c r="AB62" s="38">
        <v>1.5</v>
      </c>
      <c r="AC62" s="38">
        <v>5.5</v>
      </c>
      <c r="AD62" s="38"/>
      <c r="AE62" s="39">
        <v>8</v>
      </c>
      <c r="AF62" s="39">
        <v>9</v>
      </c>
      <c r="AG62" s="38">
        <v>2.5</v>
      </c>
      <c r="AH62" s="38"/>
      <c r="AI62" s="37">
        <v>1</v>
      </c>
      <c r="AJ62" s="43"/>
      <c r="AK62" s="43"/>
      <c r="AL62" s="43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</row>
    <row r="63" s="24" customFormat="1" ht="21" customHeight="1" spans="1:52">
      <c r="A63" s="36">
        <v>30</v>
      </c>
      <c r="B63" s="35" t="s">
        <v>40</v>
      </c>
      <c r="C63" s="36" t="s">
        <v>87</v>
      </c>
      <c r="D63" s="37" t="s">
        <v>34</v>
      </c>
      <c r="E63" s="44" t="s">
        <v>35</v>
      </c>
      <c r="F63" s="44" t="s">
        <v>35</v>
      </c>
      <c r="G63" s="44" t="s">
        <v>35</v>
      </c>
      <c r="H63" s="44" t="s">
        <v>35</v>
      </c>
      <c r="I63" s="44" t="s">
        <v>35</v>
      </c>
      <c r="J63" s="39"/>
      <c r="K63" s="39"/>
      <c r="L63" s="44" t="s">
        <v>35</v>
      </c>
      <c r="M63" s="44" t="s">
        <v>35</v>
      </c>
      <c r="N63" s="44" t="s">
        <v>35</v>
      </c>
      <c r="O63" s="44" t="s">
        <v>35</v>
      </c>
      <c r="P63" s="44" t="s">
        <v>35</v>
      </c>
      <c r="Q63" s="39" t="s">
        <v>36</v>
      </c>
      <c r="R63" s="39"/>
      <c r="S63" s="44" t="s">
        <v>35</v>
      </c>
      <c r="T63" s="44" t="s">
        <v>35</v>
      </c>
      <c r="U63" s="44" t="s">
        <v>35</v>
      </c>
      <c r="V63" s="44" t="s">
        <v>35</v>
      </c>
      <c r="W63" s="40" t="s">
        <v>36</v>
      </c>
      <c r="X63" s="39" t="s">
        <v>36</v>
      </c>
      <c r="Y63" s="39"/>
      <c r="Z63" s="44" t="s">
        <v>35</v>
      </c>
      <c r="AA63" s="44" t="s">
        <v>35</v>
      </c>
      <c r="AB63" s="44" t="s">
        <v>35</v>
      </c>
      <c r="AC63" s="44" t="s">
        <v>35</v>
      </c>
      <c r="AD63" s="44" t="s">
        <v>35</v>
      </c>
      <c r="AE63" s="39" t="s">
        <v>36</v>
      </c>
      <c r="AF63" s="39"/>
      <c r="AG63" s="44" t="s">
        <v>35</v>
      </c>
      <c r="AH63" s="44" t="s">
        <v>35</v>
      </c>
      <c r="AI63" s="37">
        <v>21</v>
      </c>
      <c r="AJ63" s="35">
        <f t="shared" si="54"/>
        <v>45</v>
      </c>
      <c r="AK63" s="35">
        <v>0</v>
      </c>
      <c r="AL63" s="35">
        <f t="shared" si="55"/>
        <v>48.5</v>
      </c>
      <c r="AM63" s="36">
        <f t="shared" si="56"/>
        <v>42</v>
      </c>
      <c r="AN63" s="36">
        <f t="shared" si="57"/>
        <v>0</v>
      </c>
      <c r="AO63" s="36">
        <f t="shared" si="58"/>
        <v>168</v>
      </c>
      <c r="AP63" s="36">
        <f t="shared" si="59"/>
        <v>258.5</v>
      </c>
      <c r="AQ63" s="36">
        <v>0</v>
      </c>
      <c r="AR63" s="36">
        <v>72</v>
      </c>
      <c r="AS63" s="36">
        <v>0</v>
      </c>
      <c r="AT63" s="36">
        <v>0</v>
      </c>
      <c r="AU63" s="36">
        <v>0</v>
      </c>
      <c r="AV63" s="36">
        <v>0</v>
      </c>
      <c r="AW63" s="36">
        <v>0</v>
      </c>
      <c r="AX63" s="36">
        <v>0</v>
      </c>
      <c r="AY63" s="36">
        <v>0</v>
      </c>
      <c r="AZ63" s="36">
        <v>0</v>
      </c>
    </row>
    <row r="64" s="24" customFormat="1" ht="21" customHeight="1" spans="1:52">
      <c r="A64" s="42"/>
      <c r="B64" s="43"/>
      <c r="C64" s="42"/>
      <c r="D64" s="37" t="s">
        <v>37</v>
      </c>
      <c r="E64" s="38">
        <v>4</v>
      </c>
      <c r="F64" s="38">
        <v>3.5</v>
      </c>
      <c r="G64" s="38">
        <v>1.5</v>
      </c>
      <c r="H64" s="38">
        <v>2.5</v>
      </c>
      <c r="I64" s="38"/>
      <c r="J64" s="39">
        <v>9.5</v>
      </c>
      <c r="K64" s="39">
        <v>7</v>
      </c>
      <c r="L64" s="38">
        <v>2</v>
      </c>
      <c r="M64" s="38">
        <v>4.5</v>
      </c>
      <c r="N64" s="38">
        <v>2</v>
      </c>
      <c r="O64" s="38">
        <v>2.5</v>
      </c>
      <c r="P64" s="38"/>
      <c r="Q64" s="39"/>
      <c r="R64" s="39">
        <v>9.5</v>
      </c>
      <c r="S64" s="38">
        <v>2</v>
      </c>
      <c r="T64" s="38">
        <v>2.5</v>
      </c>
      <c r="U64" s="38">
        <v>2.5</v>
      </c>
      <c r="V64" s="38">
        <v>2.5</v>
      </c>
      <c r="W64" s="40"/>
      <c r="X64" s="39"/>
      <c r="Y64" s="39">
        <v>8</v>
      </c>
      <c r="Z64" s="38">
        <v>2.5</v>
      </c>
      <c r="AA64" s="38">
        <v>2.5</v>
      </c>
      <c r="AB64" s="38">
        <v>2.5</v>
      </c>
      <c r="AC64" s="38">
        <v>1.5</v>
      </c>
      <c r="AD64" s="38">
        <v>3</v>
      </c>
      <c r="AE64" s="39"/>
      <c r="AF64" s="39">
        <v>8</v>
      </c>
      <c r="AG64" s="38">
        <v>2.5</v>
      </c>
      <c r="AH64" s="38">
        <v>2</v>
      </c>
      <c r="AI64" s="37">
        <v>24</v>
      </c>
      <c r="AJ64" s="43"/>
      <c r="AK64" s="43"/>
      <c r="AL64" s="43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</row>
    <row r="65" s="24" customFormat="1" ht="21" customHeight="1" spans="1:52">
      <c r="A65" s="36">
        <v>31</v>
      </c>
      <c r="B65" s="35" t="s">
        <v>32</v>
      </c>
      <c r="C65" s="36" t="s">
        <v>88</v>
      </c>
      <c r="D65" s="37" t="s">
        <v>34</v>
      </c>
      <c r="E65" s="44" t="s">
        <v>35</v>
      </c>
      <c r="F65" s="44" t="s">
        <v>35</v>
      </c>
      <c r="G65" s="44" t="s">
        <v>35</v>
      </c>
      <c r="H65" s="44" t="s">
        <v>35</v>
      </c>
      <c r="I65" s="44" t="s">
        <v>35</v>
      </c>
      <c r="J65" s="39"/>
      <c r="K65" s="39"/>
      <c r="L65" s="44" t="s">
        <v>35</v>
      </c>
      <c r="M65" s="44" t="s">
        <v>35</v>
      </c>
      <c r="N65" s="44" t="s">
        <v>35</v>
      </c>
      <c r="O65" s="44" t="s">
        <v>35</v>
      </c>
      <c r="P65" s="44" t="s">
        <v>35</v>
      </c>
      <c r="Q65" s="39"/>
      <c r="R65" s="39"/>
      <c r="S65" s="44" t="s">
        <v>35</v>
      </c>
      <c r="T65" s="44" t="s">
        <v>35</v>
      </c>
      <c r="U65" s="44" t="s">
        <v>35</v>
      </c>
      <c r="V65" s="44" t="s">
        <v>35</v>
      </c>
      <c r="W65" s="40" t="s">
        <v>36</v>
      </c>
      <c r="X65" s="39"/>
      <c r="Y65" s="39"/>
      <c r="Z65" s="44" t="s">
        <v>35</v>
      </c>
      <c r="AA65" s="44" t="s">
        <v>35</v>
      </c>
      <c r="AB65" s="44" t="s">
        <v>35</v>
      </c>
      <c r="AC65" s="44" t="s">
        <v>89</v>
      </c>
      <c r="AD65" s="44" t="s">
        <v>35</v>
      </c>
      <c r="AE65" s="39"/>
      <c r="AF65" s="39"/>
      <c r="AG65" s="44" t="s">
        <v>35</v>
      </c>
      <c r="AH65" s="44" t="s">
        <v>35</v>
      </c>
      <c r="AI65" s="37">
        <v>20</v>
      </c>
      <c r="AJ65" s="35">
        <f t="shared" ref="AJ65:AJ69" si="60">AI65+AI66</f>
        <v>52</v>
      </c>
      <c r="AK65" s="35">
        <v>0</v>
      </c>
      <c r="AL65" s="35">
        <f t="shared" ref="AL65:AL69" si="61">E66+F66+G66+H66+I66+L66+M66+N66+O66+P66+S66+T66+U66+V66+Z66+AA66+AB66+AC66+AD66+AG66+AH66</f>
        <v>59</v>
      </c>
      <c r="AM65" s="36">
        <f t="shared" ref="AM65:AM69" si="62">J66+K66+Q66+R66+X66+Y66+AE66+AF66</f>
        <v>71.5</v>
      </c>
      <c r="AN65" s="36">
        <f t="shared" ref="AN65:AN69" si="63">W66</f>
        <v>0</v>
      </c>
      <c r="AO65" s="36">
        <f t="shared" ref="AO65:AO69" si="64">21*8</f>
        <v>168</v>
      </c>
      <c r="AP65" s="36">
        <f t="shared" ref="AP65:AP69" si="65">AL65+AM65+AN65+AO65-AQ65-AS65-AT65-AV65-AW65-AX65-AY65-AZ65-AU65</f>
        <v>293.5</v>
      </c>
      <c r="AQ65" s="36">
        <v>5</v>
      </c>
      <c r="AR65" s="36">
        <f>104-AQ65</f>
        <v>99</v>
      </c>
      <c r="AS65" s="36">
        <v>0</v>
      </c>
      <c r="AT65" s="36">
        <v>0</v>
      </c>
      <c r="AU65" s="36">
        <v>0</v>
      </c>
      <c r="AV65" s="36">
        <v>0</v>
      </c>
      <c r="AW65" s="36">
        <v>0</v>
      </c>
      <c r="AX65" s="36">
        <v>0</v>
      </c>
      <c r="AY65" s="36">
        <v>0</v>
      </c>
      <c r="AZ65" s="36">
        <v>0</v>
      </c>
    </row>
    <row r="66" s="24" customFormat="1" ht="21" customHeight="1" spans="1:52">
      <c r="A66" s="42"/>
      <c r="B66" s="43"/>
      <c r="C66" s="42"/>
      <c r="D66" s="37" t="s">
        <v>37</v>
      </c>
      <c r="E66" s="38">
        <v>2.5</v>
      </c>
      <c r="F66" s="38">
        <v>3</v>
      </c>
      <c r="G66" s="38">
        <v>2.5</v>
      </c>
      <c r="H66" s="38">
        <v>2.5</v>
      </c>
      <c r="I66" s="38">
        <v>2.5</v>
      </c>
      <c r="J66" s="39">
        <v>8</v>
      </c>
      <c r="K66" s="39">
        <v>9.5</v>
      </c>
      <c r="L66" s="38">
        <v>3.5</v>
      </c>
      <c r="M66" s="38">
        <v>3</v>
      </c>
      <c r="N66" s="38">
        <v>3</v>
      </c>
      <c r="O66" s="38"/>
      <c r="P66" s="38">
        <v>2.5</v>
      </c>
      <c r="Q66" s="39">
        <v>6</v>
      </c>
      <c r="R66" s="39">
        <v>9.5</v>
      </c>
      <c r="S66" s="38">
        <v>2.5</v>
      </c>
      <c r="T66" s="38">
        <v>2.5</v>
      </c>
      <c r="U66" s="38">
        <v>3.5</v>
      </c>
      <c r="V66" s="38">
        <v>4</v>
      </c>
      <c r="W66" s="40"/>
      <c r="X66" s="39">
        <v>11</v>
      </c>
      <c r="Y66" s="39">
        <v>10</v>
      </c>
      <c r="Z66" s="38">
        <v>4.5</v>
      </c>
      <c r="AA66" s="38">
        <v>3</v>
      </c>
      <c r="AB66" s="38">
        <v>2.5</v>
      </c>
      <c r="AC66" s="38"/>
      <c r="AD66" s="38">
        <v>4</v>
      </c>
      <c r="AE66" s="39">
        <v>8</v>
      </c>
      <c r="AF66" s="39">
        <v>9.5</v>
      </c>
      <c r="AG66" s="38">
        <v>4</v>
      </c>
      <c r="AH66" s="38">
        <v>3.5</v>
      </c>
      <c r="AI66" s="37">
        <v>32</v>
      </c>
      <c r="AJ66" s="43"/>
      <c r="AK66" s="43"/>
      <c r="AL66" s="43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</row>
    <row r="67" s="24" customFormat="1" ht="21" customHeight="1" spans="1:52">
      <c r="A67" s="36">
        <v>32</v>
      </c>
      <c r="B67" s="35" t="s">
        <v>32</v>
      </c>
      <c r="C67" s="36" t="s">
        <v>90</v>
      </c>
      <c r="D67" s="37" t="s">
        <v>34</v>
      </c>
      <c r="E67" s="44" t="s">
        <v>35</v>
      </c>
      <c r="F67" s="44" t="s">
        <v>35</v>
      </c>
      <c r="G67" s="44" t="s">
        <v>35</v>
      </c>
      <c r="H67" s="44" t="s">
        <v>39</v>
      </c>
      <c r="I67" s="44" t="s">
        <v>39</v>
      </c>
      <c r="J67" s="39" t="s">
        <v>39</v>
      </c>
      <c r="K67" s="39" t="s">
        <v>36</v>
      </c>
      <c r="L67" s="44" t="s">
        <v>35</v>
      </c>
      <c r="M67" s="44" t="s">
        <v>35</v>
      </c>
      <c r="N67" s="44" t="s">
        <v>35</v>
      </c>
      <c r="O67" s="44" t="s">
        <v>35</v>
      </c>
      <c r="P67" s="44" t="s">
        <v>35</v>
      </c>
      <c r="Q67" s="39"/>
      <c r="R67" s="39" t="s">
        <v>36</v>
      </c>
      <c r="S67" s="44" t="s">
        <v>35</v>
      </c>
      <c r="T67" s="44" t="s">
        <v>35</v>
      </c>
      <c r="U67" s="44" t="s">
        <v>35</v>
      </c>
      <c r="V67" s="44" t="s">
        <v>35</v>
      </c>
      <c r="W67" s="40"/>
      <c r="X67" s="39" t="s">
        <v>36</v>
      </c>
      <c r="Y67" s="39"/>
      <c r="Z67" s="44" t="s">
        <v>35</v>
      </c>
      <c r="AA67" s="44" t="s">
        <v>35</v>
      </c>
      <c r="AB67" s="44" t="s">
        <v>35</v>
      </c>
      <c r="AC67" s="44" t="s">
        <v>35</v>
      </c>
      <c r="AD67" s="44" t="s">
        <v>35</v>
      </c>
      <c r="AE67" s="39" t="s">
        <v>36</v>
      </c>
      <c r="AF67" s="39" t="s">
        <v>39</v>
      </c>
      <c r="AG67" s="44" t="s">
        <v>39</v>
      </c>
      <c r="AH67" s="44" t="s">
        <v>35</v>
      </c>
      <c r="AI67" s="37">
        <v>18</v>
      </c>
      <c r="AJ67" s="35">
        <f t="shared" si="60"/>
        <v>37</v>
      </c>
      <c r="AK67" s="35">
        <v>5</v>
      </c>
      <c r="AL67" s="35">
        <f t="shared" si="61"/>
        <v>44</v>
      </c>
      <c r="AM67" s="36">
        <f t="shared" si="62"/>
        <v>26</v>
      </c>
      <c r="AN67" s="36">
        <f t="shared" si="63"/>
        <v>9</v>
      </c>
      <c r="AO67" s="36">
        <f t="shared" si="64"/>
        <v>168</v>
      </c>
      <c r="AP67" s="36">
        <f t="shared" si="65"/>
        <v>247</v>
      </c>
      <c r="AQ67" s="36">
        <v>0</v>
      </c>
      <c r="AR67" s="36">
        <v>24</v>
      </c>
      <c r="AS67" s="36">
        <v>0</v>
      </c>
      <c r="AT67" s="36">
        <v>0</v>
      </c>
      <c r="AU67" s="36">
        <v>0</v>
      </c>
      <c r="AV67" s="36">
        <v>0</v>
      </c>
      <c r="AW67" s="36">
        <v>0</v>
      </c>
      <c r="AX67" s="36">
        <v>0</v>
      </c>
      <c r="AY67" s="36">
        <v>0</v>
      </c>
      <c r="AZ67" s="36">
        <v>0</v>
      </c>
    </row>
    <row r="68" s="24" customFormat="1" ht="21" customHeight="1" spans="1:52">
      <c r="A68" s="42"/>
      <c r="B68" s="43"/>
      <c r="C68" s="42"/>
      <c r="D68" s="37" t="s">
        <v>37</v>
      </c>
      <c r="E68" s="38">
        <v>3.5</v>
      </c>
      <c r="F68" s="38">
        <v>2.5</v>
      </c>
      <c r="G68" s="38">
        <v>2.5</v>
      </c>
      <c r="H68" s="38"/>
      <c r="I68" s="38"/>
      <c r="J68" s="39">
        <v>5</v>
      </c>
      <c r="K68" s="39"/>
      <c r="L68" s="38">
        <v>3</v>
      </c>
      <c r="M68" s="38">
        <v>2.5</v>
      </c>
      <c r="N68" s="38">
        <v>3</v>
      </c>
      <c r="O68" s="38">
        <v>2</v>
      </c>
      <c r="P68" s="38">
        <v>1.5</v>
      </c>
      <c r="Q68" s="39">
        <v>2.5</v>
      </c>
      <c r="R68" s="39"/>
      <c r="S68" s="38">
        <v>2.5</v>
      </c>
      <c r="T68" s="38">
        <v>2</v>
      </c>
      <c r="U68" s="38">
        <v>2</v>
      </c>
      <c r="V68" s="38">
        <v>1.5</v>
      </c>
      <c r="W68" s="40">
        <v>9</v>
      </c>
      <c r="X68" s="39"/>
      <c r="Y68" s="39">
        <v>8</v>
      </c>
      <c r="Z68" s="38">
        <v>2</v>
      </c>
      <c r="AA68" s="38">
        <v>2</v>
      </c>
      <c r="AB68" s="38">
        <v>2</v>
      </c>
      <c r="AC68" s="38">
        <v>2</v>
      </c>
      <c r="AD68" s="38"/>
      <c r="AE68" s="39"/>
      <c r="AF68" s="39">
        <v>10.5</v>
      </c>
      <c r="AG68" s="38">
        <v>5</v>
      </c>
      <c r="AH68" s="38">
        <v>2.5</v>
      </c>
      <c r="AI68" s="37">
        <v>19</v>
      </c>
      <c r="AJ68" s="43"/>
      <c r="AK68" s="43"/>
      <c r="AL68" s="43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</row>
    <row r="69" s="24" customFormat="1" ht="21" customHeight="1" spans="1:52">
      <c r="A69" s="36">
        <v>33</v>
      </c>
      <c r="B69" s="35" t="s">
        <v>32</v>
      </c>
      <c r="C69" s="36" t="s">
        <v>91</v>
      </c>
      <c r="D69" s="37" t="s">
        <v>34</v>
      </c>
      <c r="E69" s="44" t="s">
        <v>39</v>
      </c>
      <c r="F69" s="44" t="s">
        <v>39</v>
      </c>
      <c r="G69" s="44" t="s">
        <v>39</v>
      </c>
      <c r="H69" s="44" t="s">
        <v>39</v>
      </c>
      <c r="I69" s="44" t="s">
        <v>39</v>
      </c>
      <c r="J69" s="39" t="s">
        <v>39</v>
      </c>
      <c r="K69" s="39" t="s">
        <v>39</v>
      </c>
      <c r="L69" s="44" t="s">
        <v>39</v>
      </c>
      <c r="M69" s="44" t="s">
        <v>39</v>
      </c>
      <c r="N69" s="44" t="s">
        <v>39</v>
      </c>
      <c r="O69" s="44" t="s">
        <v>92</v>
      </c>
      <c r="P69" s="44" t="s">
        <v>39</v>
      </c>
      <c r="Q69" s="39" t="s">
        <v>36</v>
      </c>
      <c r="R69" s="39" t="s">
        <v>36</v>
      </c>
      <c r="S69" s="44" t="s">
        <v>35</v>
      </c>
      <c r="T69" s="44" t="s">
        <v>35</v>
      </c>
      <c r="U69" s="44" t="s">
        <v>35</v>
      </c>
      <c r="V69" s="44" t="s">
        <v>35</v>
      </c>
      <c r="W69" s="40" t="s">
        <v>36</v>
      </c>
      <c r="X69" s="39" t="s">
        <v>36</v>
      </c>
      <c r="Y69" s="39" t="s">
        <v>36</v>
      </c>
      <c r="Z69" s="44" t="s">
        <v>35</v>
      </c>
      <c r="AA69" s="44" t="s">
        <v>35</v>
      </c>
      <c r="AB69" s="44" t="s">
        <v>35</v>
      </c>
      <c r="AC69" s="44" t="s">
        <v>35</v>
      </c>
      <c r="AD69" s="44" t="s">
        <v>35</v>
      </c>
      <c r="AE69" s="39" t="s">
        <v>36</v>
      </c>
      <c r="AF69" s="39" t="s">
        <v>36</v>
      </c>
      <c r="AG69" s="44" t="s">
        <v>35</v>
      </c>
      <c r="AH69" s="44" t="s">
        <v>35</v>
      </c>
      <c r="AI69" s="37">
        <v>11</v>
      </c>
      <c r="AJ69" s="35">
        <f t="shared" si="60"/>
        <v>17</v>
      </c>
      <c r="AK69" s="35">
        <v>12</v>
      </c>
      <c r="AL69" s="35">
        <f t="shared" si="61"/>
        <v>49</v>
      </c>
      <c r="AM69" s="36">
        <f t="shared" si="62"/>
        <v>4.5</v>
      </c>
      <c r="AN69" s="36">
        <f t="shared" si="63"/>
        <v>0</v>
      </c>
      <c r="AO69" s="36">
        <f t="shared" si="64"/>
        <v>168</v>
      </c>
      <c r="AP69" s="36">
        <f t="shared" si="65"/>
        <v>219.5</v>
      </c>
      <c r="AQ69" s="36">
        <v>0</v>
      </c>
      <c r="AR69" s="36">
        <v>0</v>
      </c>
      <c r="AS69" s="36">
        <v>0</v>
      </c>
      <c r="AT69" s="36">
        <v>2</v>
      </c>
      <c r="AU69" s="36">
        <v>0</v>
      </c>
      <c r="AV69" s="36">
        <v>0</v>
      </c>
      <c r="AW69" s="36">
        <v>0</v>
      </c>
      <c r="AX69" s="36">
        <v>0</v>
      </c>
      <c r="AY69" s="36">
        <v>0</v>
      </c>
      <c r="AZ69" s="36">
        <v>0</v>
      </c>
    </row>
    <row r="70" s="24" customFormat="1" ht="21" customHeight="1" spans="1:52">
      <c r="A70" s="42"/>
      <c r="B70" s="43"/>
      <c r="C70" s="42"/>
      <c r="D70" s="37" t="s">
        <v>37</v>
      </c>
      <c r="E70" s="38"/>
      <c r="F70" s="38">
        <v>1.5</v>
      </c>
      <c r="G70" s="38">
        <v>1.5</v>
      </c>
      <c r="H70" s="38">
        <v>3</v>
      </c>
      <c r="I70" s="38">
        <v>1</v>
      </c>
      <c r="J70" s="39"/>
      <c r="K70" s="39">
        <v>4.5</v>
      </c>
      <c r="L70" s="38">
        <v>6</v>
      </c>
      <c r="M70" s="38">
        <v>11</v>
      </c>
      <c r="N70" s="38">
        <v>8.5</v>
      </c>
      <c r="O70" s="38">
        <v>4</v>
      </c>
      <c r="P70" s="38"/>
      <c r="Q70" s="39"/>
      <c r="R70" s="39"/>
      <c r="S70" s="38">
        <v>1.5</v>
      </c>
      <c r="T70" s="38">
        <v>2</v>
      </c>
      <c r="U70" s="38"/>
      <c r="V70" s="38"/>
      <c r="W70" s="40"/>
      <c r="X70" s="39"/>
      <c r="Y70" s="39"/>
      <c r="Z70" s="38">
        <v>1.5</v>
      </c>
      <c r="AA70" s="38"/>
      <c r="AB70" s="38">
        <v>3</v>
      </c>
      <c r="AC70" s="38"/>
      <c r="AD70" s="38">
        <v>3</v>
      </c>
      <c r="AE70" s="39"/>
      <c r="AF70" s="39"/>
      <c r="AG70" s="38">
        <v>1.5</v>
      </c>
      <c r="AH70" s="38"/>
      <c r="AI70" s="37">
        <v>6</v>
      </c>
      <c r="AJ70" s="43"/>
      <c r="AK70" s="43"/>
      <c r="AL70" s="43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</row>
    <row r="71" s="24" customFormat="1" ht="21" customHeight="1" spans="1:52">
      <c r="A71" s="36">
        <v>34</v>
      </c>
      <c r="B71" s="35" t="s">
        <v>32</v>
      </c>
      <c r="C71" s="36" t="s">
        <v>93</v>
      </c>
      <c r="D71" s="37" t="s">
        <v>34</v>
      </c>
      <c r="E71" s="44" t="s">
        <v>35</v>
      </c>
      <c r="F71" s="44" t="s">
        <v>35</v>
      </c>
      <c r="G71" s="44" t="s">
        <v>35</v>
      </c>
      <c r="H71" s="44" t="s">
        <v>35</v>
      </c>
      <c r="I71" s="44" t="s">
        <v>35</v>
      </c>
      <c r="J71" s="39"/>
      <c r="K71" s="39" t="s">
        <v>36</v>
      </c>
      <c r="L71" s="44" t="s">
        <v>35</v>
      </c>
      <c r="M71" s="44" t="s">
        <v>35</v>
      </c>
      <c r="N71" s="44" t="s">
        <v>35</v>
      </c>
      <c r="O71" s="44" t="s">
        <v>35</v>
      </c>
      <c r="P71" s="44" t="s">
        <v>35</v>
      </c>
      <c r="Q71" s="39"/>
      <c r="R71" s="39"/>
      <c r="S71" s="44" t="s">
        <v>35</v>
      </c>
      <c r="T71" s="44" t="s">
        <v>35</v>
      </c>
      <c r="U71" s="44" t="s">
        <v>35</v>
      </c>
      <c r="V71" s="44" t="s">
        <v>35</v>
      </c>
      <c r="W71" s="40"/>
      <c r="X71" s="39"/>
      <c r="Y71" s="39"/>
      <c r="Z71" s="44" t="s">
        <v>35</v>
      </c>
      <c r="AA71" s="44" t="s">
        <v>35</v>
      </c>
      <c r="AB71" s="44" t="s">
        <v>35</v>
      </c>
      <c r="AC71" s="44" t="s">
        <v>35</v>
      </c>
      <c r="AD71" s="44" t="s">
        <v>35</v>
      </c>
      <c r="AE71" s="39"/>
      <c r="AF71" s="39" t="s">
        <v>36</v>
      </c>
      <c r="AG71" s="44" t="s">
        <v>35</v>
      </c>
      <c r="AH71" s="44" t="s">
        <v>35</v>
      </c>
      <c r="AI71" s="37">
        <v>21</v>
      </c>
      <c r="AJ71" s="35">
        <f t="shared" ref="AJ71:AJ75" si="66">AI71+AI72</f>
        <v>47</v>
      </c>
      <c r="AK71" s="35">
        <v>0</v>
      </c>
      <c r="AL71" s="35">
        <f t="shared" ref="AL71:AL75" si="67">E72+F72+G72+H72+I72+L72+M72+N72+O72+P72+S72+T72+U72+V72+Z72+AA72+AB72+AC72+AD72+AG72+AH72</f>
        <v>58.5</v>
      </c>
      <c r="AM71" s="36">
        <f t="shared" ref="AM71:AM75" si="68">J72+K72+Q72+R72+X72+Y72+AE72+AF72</f>
        <v>48.5</v>
      </c>
      <c r="AN71" s="36">
        <f t="shared" ref="AN71:AN75" si="69">W72</f>
        <v>9.5</v>
      </c>
      <c r="AO71" s="36">
        <f t="shared" ref="AO71:AO75" si="70">21*8</f>
        <v>168</v>
      </c>
      <c r="AP71" s="36">
        <f t="shared" ref="AP71:AP75" si="71">AL71+AM71+AN71+AO71-AQ71-AS71-AT71-AV71-AW71-AX71-AY71-AZ71-AU71</f>
        <v>284.5</v>
      </c>
      <c r="AQ71" s="36">
        <v>0</v>
      </c>
      <c r="AR71" s="36">
        <v>61</v>
      </c>
      <c r="AS71" s="36">
        <v>0</v>
      </c>
      <c r="AT71" s="36">
        <v>0</v>
      </c>
      <c r="AU71" s="36">
        <v>0</v>
      </c>
      <c r="AV71" s="36">
        <v>0</v>
      </c>
      <c r="AW71" s="36">
        <v>0</v>
      </c>
      <c r="AX71" s="36">
        <v>0</v>
      </c>
      <c r="AY71" s="36">
        <v>0</v>
      </c>
      <c r="AZ71" s="36">
        <v>0</v>
      </c>
    </row>
    <row r="72" s="24" customFormat="1" ht="21" customHeight="1" spans="1:52">
      <c r="A72" s="42"/>
      <c r="B72" s="43"/>
      <c r="C72" s="42"/>
      <c r="D72" s="37" t="s">
        <v>37</v>
      </c>
      <c r="E72" s="38"/>
      <c r="F72" s="38">
        <v>3.5</v>
      </c>
      <c r="G72" s="38">
        <v>3</v>
      </c>
      <c r="H72" s="38">
        <v>4</v>
      </c>
      <c r="I72" s="38"/>
      <c r="J72" s="39">
        <v>14</v>
      </c>
      <c r="K72" s="39"/>
      <c r="L72" s="38">
        <v>2.5</v>
      </c>
      <c r="M72" s="38">
        <v>3</v>
      </c>
      <c r="N72" s="38">
        <v>5</v>
      </c>
      <c r="O72" s="38">
        <v>5</v>
      </c>
      <c r="P72" s="38">
        <v>6</v>
      </c>
      <c r="Q72" s="39">
        <v>9</v>
      </c>
      <c r="R72" s="39">
        <v>7</v>
      </c>
      <c r="S72" s="38">
        <v>5.5</v>
      </c>
      <c r="T72" s="38">
        <v>4</v>
      </c>
      <c r="U72" s="38"/>
      <c r="V72" s="38">
        <v>3</v>
      </c>
      <c r="W72" s="40">
        <v>9.5</v>
      </c>
      <c r="X72" s="39">
        <v>7.5</v>
      </c>
      <c r="Y72" s="39">
        <v>6</v>
      </c>
      <c r="Z72" s="38">
        <v>5</v>
      </c>
      <c r="AA72" s="38"/>
      <c r="AB72" s="38">
        <v>4</v>
      </c>
      <c r="AC72" s="38"/>
      <c r="AD72" s="38"/>
      <c r="AE72" s="39">
        <v>5</v>
      </c>
      <c r="AF72" s="39"/>
      <c r="AG72" s="38">
        <v>2</v>
      </c>
      <c r="AH72" s="38">
        <v>3</v>
      </c>
      <c r="AI72" s="37">
        <v>26</v>
      </c>
      <c r="AJ72" s="43"/>
      <c r="AK72" s="43"/>
      <c r="AL72" s="43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</row>
    <row r="73" s="24" customFormat="1" ht="21" customHeight="1" spans="1:52">
      <c r="A73" s="36">
        <v>35</v>
      </c>
      <c r="B73" s="35" t="s">
        <v>32</v>
      </c>
      <c r="C73" s="36" t="s">
        <v>94</v>
      </c>
      <c r="D73" s="37" t="s">
        <v>34</v>
      </c>
      <c r="E73" s="44" t="s">
        <v>35</v>
      </c>
      <c r="F73" s="44" t="s">
        <v>35</v>
      </c>
      <c r="G73" s="44" t="s">
        <v>35</v>
      </c>
      <c r="H73" s="44" t="s">
        <v>35</v>
      </c>
      <c r="I73" s="44" t="s">
        <v>35</v>
      </c>
      <c r="J73" s="39"/>
      <c r="K73" s="39"/>
      <c r="L73" s="44" t="s">
        <v>35</v>
      </c>
      <c r="M73" s="44" t="s">
        <v>50</v>
      </c>
      <c r="N73" s="44" t="s">
        <v>35</v>
      </c>
      <c r="O73" s="44" t="s">
        <v>35</v>
      </c>
      <c r="P73" s="44" t="s">
        <v>35</v>
      </c>
      <c r="Q73" s="39"/>
      <c r="R73" s="39"/>
      <c r="S73" s="44" t="s">
        <v>35</v>
      </c>
      <c r="T73" s="44" t="s">
        <v>35</v>
      </c>
      <c r="U73" s="44" t="s">
        <v>35</v>
      </c>
      <c r="V73" s="44" t="s">
        <v>35</v>
      </c>
      <c r="W73" s="40" t="s">
        <v>36</v>
      </c>
      <c r="X73" s="39" t="s">
        <v>36</v>
      </c>
      <c r="Y73" s="39" t="s">
        <v>36</v>
      </c>
      <c r="Z73" s="44" t="s">
        <v>35</v>
      </c>
      <c r="AA73" s="44" t="s">
        <v>35</v>
      </c>
      <c r="AB73" s="44" t="s">
        <v>50</v>
      </c>
      <c r="AC73" s="44" t="s">
        <v>35</v>
      </c>
      <c r="AD73" s="44" t="s">
        <v>35</v>
      </c>
      <c r="AE73" s="39" t="s">
        <v>36</v>
      </c>
      <c r="AF73" s="39" t="s">
        <v>36</v>
      </c>
      <c r="AG73" s="44" t="s">
        <v>35</v>
      </c>
      <c r="AH73" s="44" t="s">
        <v>35</v>
      </c>
      <c r="AI73" s="37">
        <v>19</v>
      </c>
      <c r="AJ73" s="35">
        <f t="shared" si="66"/>
        <v>28</v>
      </c>
      <c r="AK73" s="35">
        <v>0</v>
      </c>
      <c r="AL73" s="35">
        <f t="shared" si="67"/>
        <v>14.5</v>
      </c>
      <c r="AM73" s="36">
        <f t="shared" si="68"/>
        <v>24.5</v>
      </c>
      <c r="AN73" s="36">
        <f t="shared" si="69"/>
        <v>0</v>
      </c>
      <c r="AO73" s="36">
        <f t="shared" si="70"/>
        <v>168</v>
      </c>
      <c r="AP73" s="36">
        <f t="shared" si="71"/>
        <v>191</v>
      </c>
      <c r="AQ73" s="36">
        <v>0</v>
      </c>
      <c r="AR73" s="36">
        <v>0</v>
      </c>
      <c r="AS73" s="36">
        <v>0</v>
      </c>
      <c r="AT73" s="36">
        <v>16</v>
      </c>
      <c r="AU73" s="36">
        <v>0</v>
      </c>
      <c r="AV73" s="36">
        <v>0</v>
      </c>
      <c r="AW73" s="36">
        <v>0</v>
      </c>
      <c r="AX73" s="36">
        <v>0</v>
      </c>
      <c r="AY73" s="36">
        <v>0</v>
      </c>
      <c r="AZ73" s="36">
        <v>0</v>
      </c>
    </row>
    <row r="74" s="24" customFormat="1" ht="21" customHeight="1" spans="1:52">
      <c r="A74" s="42"/>
      <c r="B74" s="43"/>
      <c r="C74" s="42"/>
      <c r="D74" s="37" t="s">
        <v>37</v>
      </c>
      <c r="E74" s="38"/>
      <c r="F74" s="38"/>
      <c r="G74" s="38"/>
      <c r="H74" s="38"/>
      <c r="I74" s="38">
        <v>1.5</v>
      </c>
      <c r="J74" s="39">
        <v>4.5</v>
      </c>
      <c r="K74" s="39">
        <v>5.5</v>
      </c>
      <c r="L74" s="38"/>
      <c r="M74" s="38"/>
      <c r="N74" s="38"/>
      <c r="O74" s="38">
        <v>2.5</v>
      </c>
      <c r="P74" s="38">
        <v>2.5</v>
      </c>
      <c r="Q74" s="39">
        <v>7</v>
      </c>
      <c r="R74" s="39">
        <v>7.5</v>
      </c>
      <c r="S74" s="38"/>
      <c r="T74" s="38"/>
      <c r="U74" s="38">
        <v>3</v>
      </c>
      <c r="V74" s="38">
        <v>3</v>
      </c>
      <c r="W74" s="40"/>
      <c r="X74" s="39"/>
      <c r="Y74" s="39"/>
      <c r="Z74" s="38"/>
      <c r="AA74" s="38"/>
      <c r="AB74" s="38"/>
      <c r="AC74" s="38"/>
      <c r="AD74" s="38"/>
      <c r="AE74" s="39"/>
      <c r="AF74" s="39"/>
      <c r="AG74" s="38"/>
      <c r="AH74" s="38">
        <v>2</v>
      </c>
      <c r="AI74" s="37">
        <v>9</v>
      </c>
      <c r="AJ74" s="43"/>
      <c r="AK74" s="43"/>
      <c r="AL74" s="43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</row>
    <row r="75" s="24" customFormat="1" ht="21" customHeight="1" spans="1:52">
      <c r="A75" s="36">
        <v>36</v>
      </c>
      <c r="B75" s="35" t="s">
        <v>32</v>
      </c>
      <c r="C75" s="36" t="s">
        <v>95</v>
      </c>
      <c r="D75" s="37" t="s">
        <v>34</v>
      </c>
      <c r="E75" s="44" t="s">
        <v>35</v>
      </c>
      <c r="F75" s="44" t="s">
        <v>35</v>
      </c>
      <c r="G75" s="44" t="s">
        <v>35</v>
      </c>
      <c r="H75" s="44" t="s">
        <v>35</v>
      </c>
      <c r="I75" s="44" t="s">
        <v>35</v>
      </c>
      <c r="J75" s="39"/>
      <c r="K75" s="39" t="s">
        <v>36</v>
      </c>
      <c r="L75" s="44" t="s">
        <v>35</v>
      </c>
      <c r="M75" s="44" t="s">
        <v>35</v>
      </c>
      <c r="N75" s="44" t="s">
        <v>35</v>
      </c>
      <c r="O75" s="44" t="s">
        <v>35</v>
      </c>
      <c r="P75" s="44" t="s">
        <v>35</v>
      </c>
      <c r="Q75" s="39"/>
      <c r="R75" s="39" t="s">
        <v>36</v>
      </c>
      <c r="S75" s="44" t="s">
        <v>35</v>
      </c>
      <c r="T75" s="44" t="s">
        <v>35</v>
      </c>
      <c r="U75" s="44" t="s">
        <v>35</v>
      </c>
      <c r="V75" s="44" t="s">
        <v>35</v>
      </c>
      <c r="W75" s="40"/>
      <c r="X75" s="39" t="s">
        <v>36</v>
      </c>
      <c r="Y75" s="39" t="s">
        <v>36</v>
      </c>
      <c r="Z75" s="44" t="s">
        <v>35</v>
      </c>
      <c r="AA75" s="44" t="s">
        <v>35</v>
      </c>
      <c r="AB75" s="44" t="s">
        <v>35</v>
      </c>
      <c r="AC75" s="44" t="s">
        <v>35</v>
      </c>
      <c r="AD75" s="44" t="s">
        <v>35</v>
      </c>
      <c r="AE75" s="39"/>
      <c r="AF75" s="39" t="s">
        <v>36</v>
      </c>
      <c r="AG75" s="44" t="s">
        <v>35</v>
      </c>
      <c r="AH75" s="44" t="s">
        <v>35</v>
      </c>
      <c r="AI75" s="37">
        <v>21</v>
      </c>
      <c r="AJ75" s="35">
        <f t="shared" si="66"/>
        <v>42</v>
      </c>
      <c r="AK75" s="35">
        <v>0</v>
      </c>
      <c r="AL75" s="35">
        <f t="shared" si="67"/>
        <v>46.5</v>
      </c>
      <c r="AM75" s="36">
        <f t="shared" si="68"/>
        <v>25.5</v>
      </c>
      <c r="AN75" s="36">
        <f t="shared" si="69"/>
        <v>10</v>
      </c>
      <c r="AO75" s="36">
        <f t="shared" si="70"/>
        <v>168</v>
      </c>
      <c r="AP75" s="36">
        <f t="shared" si="71"/>
        <v>250</v>
      </c>
      <c r="AQ75" s="36">
        <v>0</v>
      </c>
      <c r="AR75" s="36">
        <v>5</v>
      </c>
      <c r="AS75" s="36">
        <v>0</v>
      </c>
      <c r="AT75" s="36">
        <v>0</v>
      </c>
      <c r="AU75" s="36">
        <v>0</v>
      </c>
      <c r="AV75" s="36">
        <v>0</v>
      </c>
      <c r="AW75" s="36">
        <v>0</v>
      </c>
      <c r="AX75" s="36">
        <v>0</v>
      </c>
      <c r="AY75" s="36">
        <v>0</v>
      </c>
      <c r="AZ75" s="36">
        <v>0</v>
      </c>
    </row>
    <row r="76" s="24" customFormat="1" ht="21" customHeight="1" spans="1:52">
      <c r="A76" s="42"/>
      <c r="B76" s="43"/>
      <c r="C76" s="42"/>
      <c r="D76" s="37" t="s">
        <v>37</v>
      </c>
      <c r="E76" s="38">
        <v>1.5</v>
      </c>
      <c r="F76" s="38">
        <v>3</v>
      </c>
      <c r="G76" s="38">
        <v>2.5</v>
      </c>
      <c r="H76" s="38">
        <v>3</v>
      </c>
      <c r="I76" s="38">
        <v>3</v>
      </c>
      <c r="J76" s="39">
        <v>8.5</v>
      </c>
      <c r="K76" s="39"/>
      <c r="L76" s="38">
        <v>2.5</v>
      </c>
      <c r="M76" s="38">
        <v>3</v>
      </c>
      <c r="N76" s="38">
        <v>3</v>
      </c>
      <c r="O76" s="38">
        <v>4</v>
      </c>
      <c r="P76" s="38">
        <v>1</v>
      </c>
      <c r="Q76" s="39">
        <v>8.5</v>
      </c>
      <c r="R76" s="39"/>
      <c r="S76" s="38">
        <v>1.5</v>
      </c>
      <c r="T76" s="38">
        <v>3</v>
      </c>
      <c r="U76" s="38"/>
      <c r="V76" s="38"/>
      <c r="W76" s="40">
        <v>10</v>
      </c>
      <c r="X76" s="39"/>
      <c r="Y76" s="39"/>
      <c r="Z76" s="38">
        <v>2.5</v>
      </c>
      <c r="AA76" s="38"/>
      <c r="AB76" s="38">
        <v>3</v>
      </c>
      <c r="AC76" s="38">
        <v>1</v>
      </c>
      <c r="AD76" s="38">
        <v>3</v>
      </c>
      <c r="AE76" s="39">
        <v>8.5</v>
      </c>
      <c r="AF76" s="39"/>
      <c r="AG76" s="38">
        <v>3</v>
      </c>
      <c r="AH76" s="38">
        <v>3</v>
      </c>
      <c r="AI76" s="37">
        <v>21</v>
      </c>
      <c r="AJ76" s="43"/>
      <c r="AK76" s="43"/>
      <c r="AL76" s="43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</row>
    <row r="77" s="24" customFormat="1" ht="21" customHeight="1" spans="1:52">
      <c r="A77" s="36">
        <v>37</v>
      </c>
      <c r="B77" s="35" t="s">
        <v>32</v>
      </c>
      <c r="C77" s="36" t="s">
        <v>96</v>
      </c>
      <c r="D77" s="37" t="s">
        <v>34</v>
      </c>
      <c r="E77" s="44" t="s">
        <v>39</v>
      </c>
      <c r="F77" s="44" t="s">
        <v>39</v>
      </c>
      <c r="G77" s="44" t="s">
        <v>35</v>
      </c>
      <c r="H77" s="44" t="s">
        <v>35</v>
      </c>
      <c r="I77" s="44" t="s">
        <v>35</v>
      </c>
      <c r="J77" s="45" t="s">
        <v>36</v>
      </c>
      <c r="K77" s="45" t="s">
        <v>36</v>
      </c>
      <c r="L77" s="44" t="s">
        <v>35</v>
      </c>
      <c r="M77" s="44" t="s">
        <v>97</v>
      </c>
      <c r="N77" s="44" t="s">
        <v>35</v>
      </c>
      <c r="O77" s="44" t="s">
        <v>35</v>
      </c>
      <c r="P77" s="44" t="s">
        <v>98</v>
      </c>
      <c r="Q77" s="45" t="s">
        <v>36</v>
      </c>
      <c r="R77" s="45" t="s">
        <v>36</v>
      </c>
      <c r="S77" s="44" t="s">
        <v>35</v>
      </c>
      <c r="T77" s="44" t="s">
        <v>97</v>
      </c>
      <c r="U77" s="44" t="s">
        <v>99</v>
      </c>
      <c r="V77" s="44" t="s">
        <v>99</v>
      </c>
      <c r="W77" s="46" t="s">
        <v>36</v>
      </c>
      <c r="X77" s="45" t="s">
        <v>36</v>
      </c>
      <c r="Y77" s="45" t="s">
        <v>36</v>
      </c>
      <c r="Z77" s="44" t="s">
        <v>35</v>
      </c>
      <c r="AA77" s="44" t="s">
        <v>35</v>
      </c>
      <c r="AB77" s="44" t="s">
        <v>35</v>
      </c>
      <c r="AC77" s="44" t="s">
        <v>98</v>
      </c>
      <c r="AD77" s="44" t="s">
        <v>97</v>
      </c>
      <c r="AE77" s="45" t="s">
        <v>36</v>
      </c>
      <c r="AF77" s="45" t="s">
        <v>36</v>
      </c>
      <c r="AG77" s="44" t="s">
        <v>97</v>
      </c>
      <c r="AH77" s="44" t="s">
        <v>97</v>
      </c>
      <c r="AI77" s="50">
        <v>12</v>
      </c>
      <c r="AJ77" s="51">
        <f t="shared" ref="AJ77:AJ81" si="72">AI77+AI78</f>
        <v>12</v>
      </c>
      <c r="AK77" s="51">
        <v>2</v>
      </c>
      <c r="AL77" s="52">
        <f t="shared" ref="AL77:AL81" si="73">E78+F78+G78+H78+I78+L78+M78+N78+O78+P78+S78+T78+U78+V78+Z78+AA78+AB78+AC78+AD78+AG78+AH78</f>
        <v>5</v>
      </c>
      <c r="AM77" s="53">
        <f t="shared" ref="AM77:AM81" si="74">J78+K78+Q78+R78+X78+Y78+AE78+AF78</f>
        <v>0</v>
      </c>
      <c r="AN77" s="53">
        <f t="shared" ref="AN77:AN81" si="75">W78</f>
        <v>0</v>
      </c>
      <c r="AO77" s="53">
        <f t="shared" ref="AO77:AO81" si="76">21*8</f>
        <v>168</v>
      </c>
      <c r="AP77" s="54">
        <f t="shared" ref="AP77:AP81" si="77">AL77+AM77+AN77+AO77-AQ77-AS77-AT77-AV77-AW77-AX77-AY77-AZ77-AU77</f>
        <v>113</v>
      </c>
      <c r="AQ77" s="54">
        <v>60</v>
      </c>
      <c r="AR77" s="55">
        <f>60-AQ77</f>
        <v>0</v>
      </c>
      <c r="AS77" s="53">
        <v>0</v>
      </c>
      <c r="AT77" s="53">
        <v>0</v>
      </c>
      <c r="AU77" s="53">
        <v>0</v>
      </c>
      <c r="AV77" s="53">
        <v>0</v>
      </c>
      <c r="AW77" s="53">
        <v>0</v>
      </c>
      <c r="AX77" s="53">
        <v>0</v>
      </c>
      <c r="AY77" s="53">
        <v>0</v>
      </c>
      <c r="AZ77" s="53">
        <v>0</v>
      </c>
    </row>
    <row r="78" s="24" customFormat="1" ht="21" customHeight="1" spans="1:52">
      <c r="A78" s="42"/>
      <c r="B78" s="43"/>
      <c r="C78" s="42"/>
      <c r="D78" s="37" t="s">
        <v>37</v>
      </c>
      <c r="E78" s="44">
        <v>5</v>
      </c>
      <c r="F78" s="44"/>
      <c r="G78" s="44"/>
      <c r="H78" s="44"/>
      <c r="I78" s="44"/>
      <c r="J78" s="45"/>
      <c r="K78" s="45"/>
      <c r="L78" s="44"/>
      <c r="M78" s="44"/>
      <c r="N78" s="44"/>
      <c r="O78" s="44"/>
      <c r="P78" s="44"/>
      <c r="Q78" s="45"/>
      <c r="R78" s="45"/>
      <c r="S78" s="44"/>
      <c r="T78" s="44"/>
      <c r="U78" s="44"/>
      <c r="V78" s="44"/>
      <c r="W78" s="46"/>
      <c r="X78" s="45"/>
      <c r="Y78" s="45"/>
      <c r="Z78" s="44"/>
      <c r="AA78" s="44"/>
      <c r="AB78" s="44"/>
      <c r="AC78" s="44"/>
      <c r="AD78" s="44"/>
      <c r="AE78" s="45"/>
      <c r="AF78" s="45"/>
      <c r="AG78" s="44"/>
      <c r="AH78" s="44"/>
      <c r="AI78" s="50">
        <v>0</v>
      </c>
      <c r="AJ78" s="56"/>
      <c r="AK78" s="56"/>
      <c r="AL78" s="57"/>
      <c r="AM78" s="58"/>
      <c r="AN78" s="58"/>
      <c r="AO78" s="58"/>
      <c r="AP78" s="59"/>
      <c r="AQ78" s="59"/>
      <c r="AR78" s="60"/>
      <c r="AS78" s="58"/>
      <c r="AT78" s="58"/>
      <c r="AU78" s="58"/>
      <c r="AV78" s="58"/>
      <c r="AW78" s="58"/>
      <c r="AX78" s="58"/>
      <c r="AY78" s="58"/>
      <c r="AZ78" s="58"/>
    </row>
    <row r="79" s="24" customFormat="1" ht="21" customHeight="1" spans="1:52">
      <c r="A79" s="36">
        <v>38</v>
      </c>
      <c r="B79" s="35" t="s">
        <v>32</v>
      </c>
      <c r="C79" s="36" t="s">
        <v>100</v>
      </c>
      <c r="D79" s="37" t="s">
        <v>34</v>
      </c>
      <c r="E79" s="44" t="s">
        <v>35</v>
      </c>
      <c r="F79" s="44" t="s">
        <v>35</v>
      </c>
      <c r="G79" s="44" t="s">
        <v>35</v>
      </c>
      <c r="H79" s="44" t="s">
        <v>35</v>
      </c>
      <c r="I79" s="44" t="s">
        <v>35</v>
      </c>
      <c r="J79" s="39"/>
      <c r="K79" s="39"/>
      <c r="L79" s="44" t="s">
        <v>35</v>
      </c>
      <c r="M79" s="44" t="s">
        <v>35</v>
      </c>
      <c r="N79" s="44" t="s">
        <v>35</v>
      </c>
      <c r="O79" s="44" t="s">
        <v>35</v>
      </c>
      <c r="P79" s="44" t="s">
        <v>35</v>
      </c>
      <c r="Q79" s="39"/>
      <c r="R79" s="39"/>
      <c r="S79" s="44" t="s">
        <v>35</v>
      </c>
      <c r="T79" s="44" t="s">
        <v>35</v>
      </c>
      <c r="U79" s="44" t="s">
        <v>35</v>
      </c>
      <c r="V79" s="44" t="s">
        <v>35</v>
      </c>
      <c r="W79" s="40"/>
      <c r="X79" s="39" t="s">
        <v>36</v>
      </c>
      <c r="Y79" s="39"/>
      <c r="Z79" s="44" t="s">
        <v>35</v>
      </c>
      <c r="AA79" s="44" t="s">
        <v>35</v>
      </c>
      <c r="AB79" s="44" t="s">
        <v>35</v>
      </c>
      <c r="AC79" s="44" t="s">
        <v>35</v>
      </c>
      <c r="AD79" s="44" t="s">
        <v>35</v>
      </c>
      <c r="AE79" s="39" t="s">
        <v>36</v>
      </c>
      <c r="AF79" s="39"/>
      <c r="AG79" s="44" t="s">
        <v>35</v>
      </c>
      <c r="AH79" s="44" t="s">
        <v>35</v>
      </c>
      <c r="AI79" s="37">
        <v>21</v>
      </c>
      <c r="AJ79" s="35">
        <f t="shared" si="72"/>
        <v>52</v>
      </c>
      <c r="AK79" s="35">
        <v>0</v>
      </c>
      <c r="AL79" s="35">
        <f t="shared" si="73"/>
        <v>44.5</v>
      </c>
      <c r="AM79" s="36">
        <f t="shared" si="74"/>
        <v>59</v>
      </c>
      <c r="AN79" s="36">
        <f t="shared" si="75"/>
        <v>9</v>
      </c>
      <c r="AO79" s="36">
        <f t="shared" si="76"/>
        <v>168</v>
      </c>
      <c r="AP79" s="36">
        <f t="shared" si="77"/>
        <v>280.5</v>
      </c>
      <c r="AQ79" s="36">
        <v>0</v>
      </c>
      <c r="AR79" s="36">
        <v>8</v>
      </c>
      <c r="AS79" s="36">
        <v>0</v>
      </c>
      <c r="AT79" s="36">
        <v>0</v>
      </c>
      <c r="AU79" s="36">
        <v>0</v>
      </c>
      <c r="AV79" s="36">
        <v>0</v>
      </c>
      <c r="AW79" s="36">
        <v>0</v>
      </c>
      <c r="AX79" s="36">
        <v>0</v>
      </c>
      <c r="AY79" s="36">
        <v>0</v>
      </c>
      <c r="AZ79" s="36">
        <v>0</v>
      </c>
    </row>
    <row r="80" s="24" customFormat="1" ht="21" customHeight="1" spans="1:52">
      <c r="A80" s="42"/>
      <c r="B80" s="43"/>
      <c r="C80" s="42"/>
      <c r="D80" s="37" t="s">
        <v>37</v>
      </c>
      <c r="E80" s="38">
        <v>1</v>
      </c>
      <c r="F80" s="38">
        <v>2</v>
      </c>
      <c r="G80" s="38">
        <v>2.5</v>
      </c>
      <c r="H80" s="38"/>
      <c r="I80" s="38">
        <v>2</v>
      </c>
      <c r="J80" s="39">
        <v>11.5</v>
      </c>
      <c r="K80" s="39">
        <v>8.5</v>
      </c>
      <c r="L80" s="38">
        <v>2.5</v>
      </c>
      <c r="M80" s="38">
        <v>2.5</v>
      </c>
      <c r="N80" s="38">
        <v>3.5</v>
      </c>
      <c r="O80" s="38">
        <v>2</v>
      </c>
      <c r="P80" s="38">
        <v>2</v>
      </c>
      <c r="Q80" s="39">
        <v>10</v>
      </c>
      <c r="R80" s="39">
        <v>9.5</v>
      </c>
      <c r="S80" s="38">
        <v>2.5</v>
      </c>
      <c r="T80" s="38"/>
      <c r="U80" s="38">
        <v>2</v>
      </c>
      <c r="V80" s="38"/>
      <c r="W80" s="40">
        <v>9</v>
      </c>
      <c r="X80" s="39"/>
      <c r="Y80" s="39">
        <v>10</v>
      </c>
      <c r="Z80" s="38">
        <v>2.5</v>
      </c>
      <c r="AA80" s="38">
        <v>3.5</v>
      </c>
      <c r="AB80" s="38">
        <v>4</v>
      </c>
      <c r="AC80" s="38">
        <v>2.5</v>
      </c>
      <c r="AD80" s="38">
        <v>2</v>
      </c>
      <c r="AE80" s="39"/>
      <c r="AF80" s="39">
        <v>9.5</v>
      </c>
      <c r="AG80" s="38">
        <v>2.5</v>
      </c>
      <c r="AH80" s="38">
        <v>3</v>
      </c>
      <c r="AI80" s="37">
        <v>31</v>
      </c>
      <c r="AJ80" s="43"/>
      <c r="AK80" s="43"/>
      <c r="AL80" s="43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</row>
    <row r="81" s="24" customFormat="1" ht="21" customHeight="1" spans="1:52">
      <c r="A81" s="36">
        <v>39</v>
      </c>
      <c r="B81" s="35" t="s">
        <v>32</v>
      </c>
      <c r="C81" s="36" t="s">
        <v>101</v>
      </c>
      <c r="D81" s="37" t="s">
        <v>34</v>
      </c>
      <c r="E81" s="44" t="s">
        <v>35</v>
      </c>
      <c r="F81" s="44" t="s">
        <v>35</v>
      </c>
      <c r="G81" s="44" t="s">
        <v>35</v>
      </c>
      <c r="H81" s="44" t="s">
        <v>39</v>
      </c>
      <c r="I81" s="44" t="s">
        <v>39</v>
      </c>
      <c r="J81" s="39" t="s">
        <v>39</v>
      </c>
      <c r="K81" s="39" t="s">
        <v>39</v>
      </c>
      <c r="L81" s="44" t="s">
        <v>39</v>
      </c>
      <c r="M81" s="44" t="s">
        <v>39</v>
      </c>
      <c r="N81" s="44" t="s">
        <v>39</v>
      </c>
      <c r="O81" s="44" t="s">
        <v>39</v>
      </c>
      <c r="P81" s="44" t="s">
        <v>39</v>
      </c>
      <c r="Q81" s="39" t="s">
        <v>36</v>
      </c>
      <c r="R81" s="39" t="s">
        <v>36</v>
      </c>
      <c r="S81" s="44" t="s">
        <v>39</v>
      </c>
      <c r="T81" s="44" t="s">
        <v>39</v>
      </c>
      <c r="U81" s="44" t="s">
        <v>39</v>
      </c>
      <c r="V81" s="44" t="s">
        <v>39</v>
      </c>
      <c r="W81" s="40" t="s">
        <v>36</v>
      </c>
      <c r="X81" s="39" t="s">
        <v>36</v>
      </c>
      <c r="Y81" s="39" t="s">
        <v>36</v>
      </c>
      <c r="Z81" s="44" t="s">
        <v>35</v>
      </c>
      <c r="AA81" s="44" t="s">
        <v>35</v>
      </c>
      <c r="AB81" s="44" t="s">
        <v>39</v>
      </c>
      <c r="AC81" s="44" t="s">
        <v>39</v>
      </c>
      <c r="AD81" s="44" t="s">
        <v>39</v>
      </c>
      <c r="AE81" s="39" t="s">
        <v>39</v>
      </c>
      <c r="AF81" s="39" t="s">
        <v>36</v>
      </c>
      <c r="AG81" s="44" t="s">
        <v>35</v>
      </c>
      <c r="AH81" s="44" t="s">
        <v>35</v>
      </c>
      <c r="AI81" s="48">
        <v>7</v>
      </c>
      <c r="AJ81" s="35">
        <f t="shared" si="72"/>
        <v>7</v>
      </c>
      <c r="AK81" s="35">
        <v>17</v>
      </c>
      <c r="AL81" s="35">
        <f t="shared" si="73"/>
        <v>0</v>
      </c>
      <c r="AM81" s="36">
        <f t="shared" si="74"/>
        <v>0</v>
      </c>
      <c r="AN81" s="36">
        <f t="shared" si="75"/>
        <v>0</v>
      </c>
      <c r="AO81" s="36">
        <f t="shared" si="76"/>
        <v>168</v>
      </c>
      <c r="AP81" s="36">
        <f t="shared" si="77"/>
        <v>168</v>
      </c>
      <c r="AQ81" s="36">
        <v>0</v>
      </c>
      <c r="AR81" s="36">
        <v>40</v>
      </c>
      <c r="AS81" s="36">
        <v>0</v>
      </c>
      <c r="AT81" s="36">
        <v>0</v>
      </c>
      <c r="AU81" s="36">
        <v>0</v>
      </c>
      <c r="AV81" s="36">
        <v>0</v>
      </c>
      <c r="AW81" s="36">
        <v>0</v>
      </c>
      <c r="AX81" s="36">
        <v>0</v>
      </c>
      <c r="AY81" s="36">
        <v>0</v>
      </c>
      <c r="AZ81" s="36">
        <v>0</v>
      </c>
    </row>
    <row r="82" s="24" customFormat="1" ht="21" customHeight="1" spans="1:52">
      <c r="A82" s="42"/>
      <c r="B82" s="43"/>
      <c r="C82" s="42"/>
      <c r="D82" s="37" t="s">
        <v>37</v>
      </c>
      <c r="E82" s="38"/>
      <c r="F82" s="38"/>
      <c r="G82" s="38"/>
      <c r="H82" s="38"/>
      <c r="I82" s="38"/>
      <c r="J82" s="39"/>
      <c r="K82" s="39"/>
      <c r="L82" s="38"/>
      <c r="M82" s="38"/>
      <c r="N82" s="38"/>
      <c r="O82" s="38"/>
      <c r="P82" s="38"/>
      <c r="Q82" s="39"/>
      <c r="R82" s="39"/>
      <c r="S82" s="38"/>
      <c r="T82" s="38"/>
      <c r="U82" s="38"/>
      <c r="V82" s="38"/>
      <c r="W82" s="40"/>
      <c r="X82" s="39"/>
      <c r="Y82" s="39"/>
      <c r="Z82" s="38"/>
      <c r="AA82" s="38"/>
      <c r="AB82" s="38"/>
      <c r="AC82" s="38"/>
      <c r="AD82" s="38"/>
      <c r="AE82" s="39"/>
      <c r="AF82" s="39"/>
      <c r="AG82" s="38"/>
      <c r="AH82" s="38"/>
      <c r="AI82" s="37">
        <v>0</v>
      </c>
      <c r="AJ82" s="43"/>
      <c r="AK82" s="43"/>
      <c r="AL82" s="43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</row>
    <row r="83" s="24" customFormat="1" ht="21" customHeight="1" spans="1:52">
      <c r="A83" s="36">
        <v>40</v>
      </c>
      <c r="B83" s="35" t="s">
        <v>40</v>
      </c>
      <c r="C83" s="36" t="s">
        <v>102</v>
      </c>
      <c r="D83" s="37" t="s">
        <v>34</v>
      </c>
      <c r="E83" s="44" t="s">
        <v>39</v>
      </c>
      <c r="F83" s="44" t="s">
        <v>39</v>
      </c>
      <c r="G83" s="44" t="s">
        <v>39</v>
      </c>
      <c r="H83" s="44" t="s">
        <v>39</v>
      </c>
      <c r="I83" s="44" t="s">
        <v>39</v>
      </c>
      <c r="J83" s="39" t="s">
        <v>39</v>
      </c>
      <c r="K83" s="39" t="s">
        <v>39</v>
      </c>
      <c r="L83" s="44" t="s">
        <v>39</v>
      </c>
      <c r="M83" s="44" t="s">
        <v>39</v>
      </c>
      <c r="N83" s="44" t="s">
        <v>39</v>
      </c>
      <c r="O83" s="44" t="s">
        <v>39</v>
      </c>
      <c r="P83" s="44" t="s">
        <v>39</v>
      </c>
      <c r="Q83" s="39" t="s">
        <v>39</v>
      </c>
      <c r="R83" s="39" t="s">
        <v>39</v>
      </c>
      <c r="S83" s="44" t="s">
        <v>39</v>
      </c>
      <c r="T83" s="44" t="s">
        <v>39</v>
      </c>
      <c r="U83" s="44" t="s">
        <v>39</v>
      </c>
      <c r="V83" s="44" t="s">
        <v>39</v>
      </c>
      <c r="W83" s="40" t="s">
        <v>39</v>
      </c>
      <c r="X83" s="39" t="s">
        <v>39</v>
      </c>
      <c r="Y83" s="39" t="s">
        <v>39</v>
      </c>
      <c r="Z83" s="44" t="s">
        <v>39</v>
      </c>
      <c r="AA83" s="44" t="s">
        <v>39</v>
      </c>
      <c r="AB83" s="44" t="s">
        <v>39</v>
      </c>
      <c r="AC83" s="44" t="s">
        <v>39</v>
      </c>
      <c r="AD83" s="44" t="s">
        <v>39</v>
      </c>
      <c r="AE83" s="39" t="s">
        <v>39</v>
      </c>
      <c r="AF83" s="39" t="s">
        <v>39</v>
      </c>
      <c r="AG83" s="44" t="s">
        <v>39</v>
      </c>
      <c r="AH83" s="44" t="s">
        <v>39</v>
      </c>
      <c r="AI83" s="37">
        <v>0</v>
      </c>
      <c r="AJ83" s="35">
        <f t="shared" ref="AJ83:AJ87" si="78">AI83+AI84</f>
        <v>0</v>
      </c>
      <c r="AK83" s="35">
        <v>30</v>
      </c>
      <c r="AL83" s="35">
        <f t="shared" ref="AL83:AL87" si="79">E84+F84+G84+H84+I84+L84+M84+N84+O84+P84+S84+T84+U84+V84+Z84+AA84+AB84+AC84+AD84+AG84+AH84</f>
        <v>25</v>
      </c>
      <c r="AM83" s="36">
        <f t="shared" ref="AM83:AM87" si="80">J84+K84+Q84+R84+X84+Y84+AE84+AF84</f>
        <v>50.5</v>
      </c>
      <c r="AN83" s="36">
        <f t="shared" ref="AN83:AN87" si="81">W84</f>
        <v>11.5</v>
      </c>
      <c r="AO83" s="36">
        <f t="shared" ref="AO83:AO87" si="82">21*8</f>
        <v>168</v>
      </c>
      <c r="AP83" s="36">
        <f t="shared" ref="AP83:AP87" si="83">AL83+AM83+AN83+AO83-AQ83-AS83-AT83-AV83-AW83-AX83-AY83-AZ83-AU83</f>
        <v>255</v>
      </c>
      <c r="AQ83" s="36">
        <v>0</v>
      </c>
      <c r="AR83" s="36">
        <v>0</v>
      </c>
      <c r="AS83" s="36">
        <v>0</v>
      </c>
      <c r="AT83" s="36">
        <v>0</v>
      </c>
      <c r="AU83" s="36">
        <v>0</v>
      </c>
      <c r="AV83" s="36">
        <v>0</v>
      </c>
      <c r="AW83" s="36">
        <v>0</v>
      </c>
      <c r="AX83" s="36">
        <v>0</v>
      </c>
      <c r="AY83" s="36">
        <v>0</v>
      </c>
      <c r="AZ83" s="36">
        <v>0</v>
      </c>
    </row>
    <row r="84" s="24" customFormat="1" ht="21" customHeight="1" spans="1:52">
      <c r="A84" s="42"/>
      <c r="B84" s="43"/>
      <c r="C84" s="42"/>
      <c r="D84" s="37" t="s">
        <v>37</v>
      </c>
      <c r="E84" s="38">
        <v>1</v>
      </c>
      <c r="F84" s="38">
        <v>1</v>
      </c>
      <c r="G84" s="38">
        <v>1</v>
      </c>
      <c r="H84" s="38"/>
      <c r="I84" s="38">
        <v>1.5</v>
      </c>
      <c r="J84" s="39">
        <v>8</v>
      </c>
      <c r="K84" s="39">
        <v>7.5</v>
      </c>
      <c r="L84" s="38"/>
      <c r="M84" s="38">
        <v>1</v>
      </c>
      <c r="N84" s="38">
        <v>2.5</v>
      </c>
      <c r="O84" s="38"/>
      <c r="P84" s="38"/>
      <c r="Q84" s="39">
        <v>8.5</v>
      </c>
      <c r="R84" s="39">
        <v>8.5</v>
      </c>
      <c r="S84" s="38"/>
      <c r="T84" s="38">
        <v>1.5</v>
      </c>
      <c r="U84" s="38">
        <v>3.5</v>
      </c>
      <c r="V84" s="38">
        <v>4.5</v>
      </c>
      <c r="W84" s="40">
        <v>11.5</v>
      </c>
      <c r="X84" s="39">
        <v>8.5</v>
      </c>
      <c r="Y84" s="39">
        <v>9.5</v>
      </c>
      <c r="Z84" s="38">
        <v>1.5</v>
      </c>
      <c r="AA84" s="38">
        <v>1.5</v>
      </c>
      <c r="AB84" s="38">
        <v>1.5</v>
      </c>
      <c r="AC84" s="38"/>
      <c r="AD84" s="38"/>
      <c r="AE84" s="39"/>
      <c r="AF84" s="39"/>
      <c r="AG84" s="38">
        <v>2</v>
      </c>
      <c r="AH84" s="38">
        <v>1</v>
      </c>
      <c r="AI84" s="37">
        <v>0</v>
      </c>
      <c r="AJ84" s="43"/>
      <c r="AK84" s="43"/>
      <c r="AL84" s="43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</row>
    <row r="85" s="24" customFormat="1" ht="21" customHeight="1" spans="1:52">
      <c r="A85" s="36">
        <v>41</v>
      </c>
      <c r="B85" s="35" t="s">
        <v>32</v>
      </c>
      <c r="C85" s="36" t="s">
        <v>103</v>
      </c>
      <c r="D85" s="37" t="s">
        <v>34</v>
      </c>
      <c r="E85" s="44" t="s">
        <v>39</v>
      </c>
      <c r="F85" s="44" t="s">
        <v>39</v>
      </c>
      <c r="G85" s="44" t="s">
        <v>35</v>
      </c>
      <c r="H85" s="44" t="s">
        <v>35</v>
      </c>
      <c r="I85" s="44" t="s">
        <v>35</v>
      </c>
      <c r="J85" s="45" t="s">
        <v>36</v>
      </c>
      <c r="K85" s="45" t="s">
        <v>36</v>
      </c>
      <c r="L85" s="44" t="s">
        <v>35</v>
      </c>
      <c r="M85" s="44" t="s">
        <v>39</v>
      </c>
      <c r="N85" s="44" t="s">
        <v>39</v>
      </c>
      <c r="O85" s="44" t="s">
        <v>39</v>
      </c>
      <c r="P85" s="44" t="s">
        <v>39</v>
      </c>
      <c r="Q85" s="39" t="s">
        <v>39</v>
      </c>
      <c r="R85" s="39" t="s">
        <v>39</v>
      </c>
      <c r="S85" s="44" t="s">
        <v>39</v>
      </c>
      <c r="T85" s="44" t="s">
        <v>39</v>
      </c>
      <c r="U85" s="44" t="s">
        <v>104</v>
      </c>
      <c r="V85" s="44" t="s">
        <v>104</v>
      </c>
      <c r="W85" s="40" t="s">
        <v>39</v>
      </c>
      <c r="X85" s="39" t="s">
        <v>39</v>
      </c>
      <c r="Y85" s="39" t="s">
        <v>39</v>
      </c>
      <c r="Z85" s="44" t="s">
        <v>39</v>
      </c>
      <c r="AA85" s="44" t="s">
        <v>39</v>
      </c>
      <c r="AB85" s="44" t="s">
        <v>39</v>
      </c>
      <c r="AC85" s="44" t="s">
        <v>39</v>
      </c>
      <c r="AD85" s="44" t="s">
        <v>39</v>
      </c>
      <c r="AE85" s="39" t="s">
        <v>39</v>
      </c>
      <c r="AF85" s="39" t="s">
        <v>39</v>
      </c>
      <c r="AG85" s="44" t="s">
        <v>39</v>
      </c>
      <c r="AH85" s="44" t="s">
        <v>39</v>
      </c>
      <c r="AI85" s="37">
        <v>4</v>
      </c>
      <c r="AJ85" s="35">
        <f t="shared" si="78"/>
        <v>4</v>
      </c>
      <c r="AK85" s="35">
        <v>24</v>
      </c>
      <c r="AL85" s="35">
        <f t="shared" si="79"/>
        <v>10</v>
      </c>
      <c r="AM85" s="36">
        <f t="shared" si="80"/>
        <v>2.5</v>
      </c>
      <c r="AN85" s="36">
        <f t="shared" si="81"/>
        <v>0</v>
      </c>
      <c r="AO85" s="36">
        <f t="shared" si="82"/>
        <v>168</v>
      </c>
      <c r="AP85" s="36">
        <f t="shared" si="83"/>
        <v>179.5</v>
      </c>
      <c r="AQ85" s="36">
        <v>1</v>
      </c>
      <c r="AR85" s="36">
        <f>12.5-AQ85</f>
        <v>11.5</v>
      </c>
      <c r="AS85" s="36">
        <v>0</v>
      </c>
      <c r="AT85" s="36">
        <v>0</v>
      </c>
      <c r="AU85" s="36">
        <v>0</v>
      </c>
      <c r="AV85" s="36">
        <v>0</v>
      </c>
      <c r="AW85" s="36">
        <v>0</v>
      </c>
      <c r="AX85" s="36">
        <v>0</v>
      </c>
      <c r="AY85" s="36">
        <v>0</v>
      </c>
      <c r="AZ85" s="36">
        <v>0</v>
      </c>
    </row>
    <row r="86" s="24" customFormat="1" ht="21" customHeight="1" spans="1:52">
      <c r="A86" s="42"/>
      <c r="B86" s="43"/>
      <c r="C86" s="42"/>
      <c r="D86" s="37" t="s">
        <v>37</v>
      </c>
      <c r="E86" s="38"/>
      <c r="F86" s="38"/>
      <c r="G86" s="38"/>
      <c r="H86" s="38"/>
      <c r="I86" s="38"/>
      <c r="J86" s="39"/>
      <c r="K86" s="39"/>
      <c r="L86" s="38"/>
      <c r="M86" s="38"/>
      <c r="N86" s="38">
        <v>1.5</v>
      </c>
      <c r="O86" s="38"/>
      <c r="P86" s="38"/>
      <c r="Q86" s="39"/>
      <c r="R86" s="39"/>
      <c r="S86" s="38"/>
      <c r="T86" s="38">
        <v>2</v>
      </c>
      <c r="U86" s="38">
        <v>3</v>
      </c>
      <c r="V86" s="38"/>
      <c r="W86" s="40"/>
      <c r="X86" s="39">
        <v>2.5</v>
      </c>
      <c r="Y86" s="39"/>
      <c r="Z86" s="38">
        <v>3.5</v>
      </c>
      <c r="AA86" s="38"/>
      <c r="AB86" s="38"/>
      <c r="AC86" s="38"/>
      <c r="AD86" s="38"/>
      <c r="AE86" s="39"/>
      <c r="AF86" s="39"/>
      <c r="AG86" s="38"/>
      <c r="AH86" s="38"/>
      <c r="AI86" s="37">
        <v>0</v>
      </c>
      <c r="AJ86" s="43"/>
      <c r="AK86" s="43"/>
      <c r="AL86" s="43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</row>
    <row r="87" s="24" customFormat="1" ht="21" customHeight="1" spans="1:52">
      <c r="A87" s="36">
        <v>42</v>
      </c>
      <c r="B87" s="35" t="s">
        <v>32</v>
      </c>
      <c r="C87" s="36" t="s">
        <v>105</v>
      </c>
      <c r="D87" s="37" t="s">
        <v>34</v>
      </c>
      <c r="E87" s="44" t="s">
        <v>35</v>
      </c>
      <c r="F87" s="44" t="s">
        <v>35</v>
      </c>
      <c r="G87" s="44" t="s">
        <v>35</v>
      </c>
      <c r="H87" s="44" t="s">
        <v>35</v>
      </c>
      <c r="I87" s="44" t="s">
        <v>35</v>
      </c>
      <c r="J87" s="39"/>
      <c r="K87" s="39"/>
      <c r="L87" s="44" t="s">
        <v>35</v>
      </c>
      <c r="M87" s="44" t="s">
        <v>35</v>
      </c>
      <c r="N87" s="44" t="s">
        <v>35</v>
      </c>
      <c r="O87" s="44" t="s">
        <v>35</v>
      </c>
      <c r="P87" s="44" t="s">
        <v>35</v>
      </c>
      <c r="Q87" s="39" t="s">
        <v>36</v>
      </c>
      <c r="R87" s="39"/>
      <c r="S87" s="44" t="s">
        <v>35</v>
      </c>
      <c r="T87" s="44" t="s">
        <v>35</v>
      </c>
      <c r="U87" s="44" t="s">
        <v>35</v>
      </c>
      <c r="V87" s="44" t="s">
        <v>35</v>
      </c>
      <c r="W87" s="40" t="s">
        <v>36</v>
      </c>
      <c r="X87" s="39" t="s">
        <v>36</v>
      </c>
      <c r="Y87" s="39" t="s">
        <v>36</v>
      </c>
      <c r="Z87" s="44" t="s">
        <v>35</v>
      </c>
      <c r="AA87" s="44" t="s">
        <v>35</v>
      </c>
      <c r="AB87" s="44" t="s">
        <v>35</v>
      </c>
      <c r="AC87" s="44" t="s">
        <v>35</v>
      </c>
      <c r="AD87" s="44" t="s">
        <v>35</v>
      </c>
      <c r="AE87" s="39"/>
      <c r="AF87" s="39" t="s">
        <v>36</v>
      </c>
      <c r="AG87" s="44" t="s">
        <v>47</v>
      </c>
      <c r="AH87" s="44" t="s">
        <v>35</v>
      </c>
      <c r="AI87" s="37">
        <v>21</v>
      </c>
      <c r="AJ87" s="35">
        <f t="shared" si="78"/>
        <v>42</v>
      </c>
      <c r="AK87" s="35">
        <v>0</v>
      </c>
      <c r="AL87" s="35">
        <f t="shared" si="79"/>
        <v>58.5</v>
      </c>
      <c r="AM87" s="36">
        <f t="shared" si="80"/>
        <v>35</v>
      </c>
      <c r="AN87" s="36">
        <f t="shared" si="81"/>
        <v>0</v>
      </c>
      <c r="AO87" s="36">
        <f t="shared" si="82"/>
        <v>168</v>
      </c>
      <c r="AP87" s="36">
        <f t="shared" si="83"/>
        <v>260.5</v>
      </c>
      <c r="AQ87" s="36">
        <v>1</v>
      </c>
      <c r="AR87" s="36">
        <f>37.5-AQ87</f>
        <v>36.5</v>
      </c>
      <c r="AS87" s="36">
        <v>0</v>
      </c>
      <c r="AT87" s="36">
        <v>0</v>
      </c>
      <c r="AU87" s="36">
        <v>0</v>
      </c>
      <c r="AV87" s="36">
        <v>0</v>
      </c>
      <c r="AW87" s="36">
        <v>0</v>
      </c>
      <c r="AX87" s="36">
        <v>0</v>
      </c>
      <c r="AY87" s="36">
        <v>0</v>
      </c>
      <c r="AZ87" s="36">
        <v>0</v>
      </c>
    </row>
    <row r="88" s="24" customFormat="1" ht="21" customHeight="1" spans="1:52">
      <c r="A88" s="42"/>
      <c r="B88" s="43"/>
      <c r="C88" s="42"/>
      <c r="D88" s="37" t="s">
        <v>37</v>
      </c>
      <c r="E88" s="38">
        <v>3.5</v>
      </c>
      <c r="F88" s="38">
        <v>2.5</v>
      </c>
      <c r="G88" s="38">
        <v>4.5</v>
      </c>
      <c r="H88" s="38">
        <v>4.5</v>
      </c>
      <c r="I88" s="38">
        <v>5.5</v>
      </c>
      <c r="J88" s="39">
        <v>12.5</v>
      </c>
      <c r="K88" s="39">
        <v>12.5</v>
      </c>
      <c r="L88" s="38">
        <v>2</v>
      </c>
      <c r="M88" s="38">
        <v>2.5</v>
      </c>
      <c r="N88" s="38">
        <v>3</v>
      </c>
      <c r="O88" s="38">
        <v>2.5</v>
      </c>
      <c r="P88" s="38">
        <v>2.5</v>
      </c>
      <c r="Q88" s="39"/>
      <c r="R88" s="39">
        <v>4</v>
      </c>
      <c r="S88" s="38">
        <v>4</v>
      </c>
      <c r="T88" s="38">
        <v>2.5</v>
      </c>
      <c r="U88" s="38">
        <v>4.5</v>
      </c>
      <c r="V88" s="38"/>
      <c r="W88" s="40"/>
      <c r="X88" s="39"/>
      <c r="Y88" s="39"/>
      <c r="Z88" s="38">
        <v>5.5</v>
      </c>
      <c r="AA88" s="38">
        <v>5.5</v>
      </c>
      <c r="AB88" s="38"/>
      <c r="AC88" s="38">
        <v>1.5</v>
      </c>
      <c r="AD88" s="38"/>
      <c r="AE88" s="39">
        <v>6</v>
      </c>
      <c r="AF88" s="39"/>
      <c r="AG88" s="38"/>
      <c r="AH88" s="38">
        <v>2</v>
      </c>
      <c r="AI88" s="37">
        <v>21</v>
      </c>
      <c r="AJ88" s="43"/>
      <c r="AK88" s="43"/>
      <c r="AL88" s="43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</row>
    <row r="89" s="24" customFormat="1" ht="21" customHeight="1" spans="1:52">
      <c r="A89" s="36">
        <v>43</v>
      </c>
      <c r="B89" s="35" t="s">
        <v>32</v>
      </c>
      <c r="C89" s="36" t="s">
        <v>106</v>
      </c>
      <c r="D89" s="37" t="s">
        <v>34</v>
      </c>
      <c r="E89" s="44" t="s">
        <v>39</v>
      </c>
      <c r="F89" s="44" t="s">
        <v>39</v>
      </c>
      <c r="G89" s="44" t="s">
        <v>54</v>
      </c>
      <c r="H89" s="44" t="s">
        <v>35</v>
      </c>
      <c r="I89" s="44" t="s">
        <v>35</v>
      </c>
      <c r="J89" s="45" t="s">
        <v>36</v>
      </c>
      <c r="K89" s="39"/>
      <c r="L89" s="44" t="s">
        <v>35</v>
      </c>
      <c r="M89" s="44" t="s">
        <v>35</v>
      </c>
      <c r="N89" s="44" t="s">
        <v>35</v>
      </c>
      <c r="O89" s="44" t="s">
        <v>35</v>
      </c>
      <c r="P89" s="44" t="s">
        <v>35</v>
      </c>
      <c r="Q89" s="39" t="s">
        <v>36</v>
      </c>
      <c r="R89" s="39" t="s">
        <v>36</v>
      </c>
      <c r="S89" s="44" t="s">
        <v>35</v>
      </c>
      <c r="T89" s="44" t="s">
        <v>39</v>
      </c>
      <c r="U89" s="44" t="s">
        <v>35</v>
      </c>
      <c r="V89" s="44" t="s">
        <v>39</v>
      </c>
      <c r="W89" s="40" t="s">
        <v>36</v>
      </c>
      <c r="X89" s="39" t="s">
        <v>36</v>
      </c>
      <c r="Y89" s="39" t="s">
        <v>36</v>
      </c>
      <c r="Z89" s="44" t="s">
        <v>54</v>
      </c>
      <c r="AA89" s="44" t="s">
        <v>54</v>
      </c>
      <c r="AB89" s="44" t="s">
        <v>73</v>
      </c>
      <c r="AC89" s="44" t="s">
        <v>35</v>
      </c>
      <c r="AD89" s="44" t="s">
        <v>107</v>
      </c>
      <c r="AE89" s="39" t="s">
        <v>36</v>
      </c>
      <c r="AF89" s="39" t="s">
        <v>36</v>
      </c>
      <c r="AG89" s="44" t="s">
        <v>35</v>
      </c>
      <c r="AH89" s="44" t="s">
        <v>35</v>
      </c>
      <c r="AI89" s="37">
        <v>13</v>
      </c>
      <c r="AJ89" s="35">
        <f t="shared" ref="AJ89:AJ93" si="84">AI89+AI90</f>
        <v>17</v>
      </c>
      <c r="AK89" s="35">
        <v>4</v>
      </c>
      <c r="AL89" s="35">
        <f t="shared" ref="AL89:AL93" si="85">E90+F90+G90+H90+I90+L90+M90+N90+O90+P90+S90+T90+U90+V90+Z90+AA90+AB90+AC90+AD90+AG90+AH90</f>
        <v>13.5</v>
      </c>
      <c r="AM89" s="36">
        <f t="shared" ref="AM89:AM93" si="86">J90+K90+Q90+R90+X90+Y90+AE90+AF90</f>
        <v>4</v>
      </c>
      <c r="AN89" s="36">
        <f t="shared" ref="AN89:AN93" si="87">W90</f>
        <v>0</v>
      </c>
      <c r="AO89" s="36">
        <f t="shared" ref="AO89:AO93" si="88">21*8</f>
        <v>168</v>
      </c>
      <c r="AP89" s="36">
        <f t="shared" ref="AP89:AP93" si="89">AL89+AM89+AN89+AO89-AQ89-AS89-AT89-AV89-AW89-AX89-AY89-AZ89-AU89</f>
        <v>153.5</v>
      </c>
      <c r="AQ89" s="36">
        <v>32</v>
      </c>
      <c r="AR89" s="36">
        <f>47.5-AQ89</f>
        <v>15.5</v>
      </c>
      <c r="AS89" s="36">
        <v>0</v>
      </c>
      <c r="AT89" s="36">
        <v>0</v>
      </c>
      <c r="AU89" s="36">
        <v>0</v>
      </c>
      <c r="AV89" s="36">
        <v>0</v>
      </c>
      <c r="AW89" s="36">
        <v>0</v>
      </c>
      <c r="AX89" s="36">
        <v>0</v>
      </c>
      <c r="AY89" s="36">
        <v>0</v>
      </c>
      <c r="AZ89" s="36">
        <v>0</v>
      </c>
    </row>
    <row r="90" s="24" customFormat="1" ht="21" customHeight="1" spans="1:52">
      <c r="A90" s="42"/>
      <c r="B90" s="43"/>
      <c r="C90" s="42"/>
      <c r="D90" s="37" t="s">
        <v>37</v>
      </c>
      <c r="E90" s="38">
        <v>5</v>
      </c>
      <c r="F90" s="38"/>
      <c r="G90" s="38"/>
      <c r="H90" s="38"/>
      <c r="I90" s="38"/>
      <c r="J90" s="39"/>
      <c r="K90" s="39">
        <v>4</v>
      </c>
      <c r="L90" s="38">
        <v>1.5</v>
      </c>
      <c r="M90" s="38"/>
      <c r="N90" s="38"/>
      <c r="O90" s="38"/>
      <c r="P90" s="38"/>
      <c r="Q90" s="39"/>
      <c r="R90" s="39"/>
      <c r="S90" s="38">
        <v>1.5</v>
      </c>
      <c r="T90" s="38"/>
      <c r="U90" s="38">
        <v>3</v>
      </c>
      <c r="V90" s="38"/>
      <c r="W90" s="40"/>
      <c r="X90" s="39"/>
      <c r="Y90" s="39"/>
      <c r="Z90" s="38"/>
      <c r="AA90" s="38"/>
      <c r="AB90" s="38">
        <v>1.5</v>
      </c>
      <c r="AC90" s="38"/>
      <c r="AD90" s="38"/>
      <c r="AE90" s="39"/>
      <c r="AF90" s="39"/>
      <c r="AG90" s="38">
        <v>1</v>
      </c>
      <c r="AH90" s="38"/>
      <c r="AI90" s="37">
        <v>4</v>
      </c>
      <c r="AJ90" s="43"/>
      <c r="AK90" s="43"/>
      <c r="AL90" s="43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</row>
    <row r="91" s="24" customFormat="1" ht="21" customHeight="1" spans="1:52">
      <c r="A91" s="36">
        <v>44</v>
      </c>
      <c r="B91" s="35" t="s">
        <v>32</v>
      </c>
      <c r="C91" s="36" t="s">
        <v>108</v>
      </c>
      <c r="D91" s="37" t="s">
        <v>34</v>
      </c>
      <c r="E91" s="44" t="s">
        <v>35</v>
      </c>
      <c r="F91" s="44" t="s">
        <v>35</v>
      </c>
      <c r="G91" s="44" t="s">
        <v>35</v>
      </c>
      <c r="H91" s="44" t="s">
        <v>35</v>
      </c>
      <c r="I91" s="44" t="s">
        <v>35</v>
      </c>
      <c r="J91" s="39" t="s">
        <v>36</v>
      </c>
      <c r="K91" s="39" t="s">
        <v>36</v>
      </c>
      <c r="L91" s="44" t="s">
        <v>35</v>
      </c>
      <c r="M91" s="44" t="s">
        <v>35</v>
      </c>
      <c r="N91" s="44" t="s">
        <v>35</v>
      </c>
      <c r="O91" s="44" t="s">
        <v>35</v>
      </c>
      <c r="P91" s="44" t="s">
        <v>35</v>
      </c>
      <c r="Q91" s="39" t="s">
        <v>36</v>
      </c>
      <c r="R91" s="39" t="s">
        <v>36</v>
      </c>
      <c r="S91" s="44" t="s">
        <v>35</v>
      </c>
      <c r="T91" s="44" t="s">
        <v>35</v>
      </c>
      <c r="U91" s="44" t="s">
        <v>35</v>
      </c>
      <c r="V91" s="44" t="s">
        <v>35</v>
      </c>
      <c r="W91" s="40" t="s">
        <v>36</v>
      </c>
      <c r="X91" s="39" t="s">
        <v>36</v>
      </c>
      <c r="Y91" s="39" t="s">
        <v>36</v>
      </c>
      <c r="Z91" s="44" t="s">
        <v>35</v>
      </c>
      <c r="AA91" s="44" t="s">
        <v>35</v>
      </c>
      <c r="AB91" s="44" t="s">
        <v>35</v>
      </c>
      <c r="AC91" s="44" t="s">
        <v>35</v>
      </c>
      <c r="AD91" s="44" t="s">
        <v>35</v>
      </c>
      <c r="AE91" s="39" t="s">
        <v>36</v>
      </c>
      <c r="AF91" s="39" t="s">
        <v>36</v>
      </c>
      <c r="AG91" s="44" t="s">
        <v>35</v>
      </c>
      <c r="AH91" s="44" t="s">
        <v>35</v>
      </c>
      <c r="AI91" s="37">
        <v>21</v>
      </c>
      <c r="AJ91" s="35">
        <f t="shared" si="84"/>
        <v>29</v>
      </c>
      <c r="AK91" s="35">
        <v>0</v>
      </c>
      <c r="AL91" s="35">
        <f t="shared" si="85"/>
        <v>20</v>
      </c>
      <c r="AM91" s="36">
        <f t="shared" si="86"/>
        <v>0</v>
      </c>
      <c r="AN91" s="36">
        <f t="shared" si="87"/>
        <v>0</v>
      </c>
      <c r="AO91" s="36">
        <f t="shared" si="88"/>
        <v>168</v>
      </c>
      <c r="AP91" s="36">
        <f t="shared" si="89"/>
        <v>188</v>
      </c>
      <c r="AQ91" s="36">
        <v>0</v>
      </c>
      <c r="AR91" s="36">
        <v>37</v>
      </c>
      <c r="AS91" s="36">
        <v>0</v>
      </c>
      <c r="AT91" s="36">
        <v>0</v>
      </c>
      <c r="AU91" s="36">
        <v>0</v>
      </c>
      <c r="AV91" s="36">
        <v>0</v>
      </c>
      <c r="AW91" s="36">
        <v>0</v>
      </c>
      <c r="AX91" s="36">
        <v>0</v>
      </c>
      <c r="AY91" s="36">
        <v>0</v>
      </c>
      <c r="AZ91" s="36">
        <v>0</v>
      </c>
    </row>
    <row r="92" s="24" customFormat="1" ht="21" customHeight="1" spans="1:52">
      <c r="A92" s="42"/>
      <c r="B92" s="43"/>
      <c r="C92" s="42"/>
      <c r="D92" s="37" t="s">
        <v>37</v>
      </c>
      <c r="E92" s="38">
        <v>3</v>
      </c>
      <c r="F92" s="38"/>
      <c r="G92" s="38"/>
      <c r="H92" s="38"/>
      <c r="I92" s="38"/>
      <c r="J92" s="39"/>
      <c r="K92" s="39"/>
      <c r="L92" s="38">
        <v>1.5</v>
      </c>
      <c r="M92" s="38"/>
      <c r="N92" s="38"/>
      <c r="O92" s="38"/>
      <c r="P92" s="38"/>
      <c r="Q92" s="39"/>
      <c r="R92" s="39"/>
      <c r="S92" s="38">
        <v>2.5</v>
      </c>
      <c r="T92" s="38">
        <v>1.5</v>
      </c>
      <c r="U92" s="38">
        <v>2</v>
      </c>
      <c r="V92" s="38"/>
      <c r="W92" s="40"/>
      <c r="X92" s="39"/>
      <c r="Y92" s="39"/>
      <c r="Z92" s="38">
        <v>2</v>
      </c>
      <c r="AA92" s="38">
        <v>1</v>
      </c>
      <c r="AB92" s="38"/>
      <c r="AC92" s="38">
        <v>2</v>
      </c>
      <c r="AD92" s="38">
        <v>1</v>
      </c>
      <c r="AE92" s="39"/>
      <c r="AF92" s="39"/>
      <c r="AG92" s="38">
        <v>2</v>
      </c>
      <c r="AH92" s="38">
        <v>1.5</v>
      </c>
      <c r="AI92" s="37">
        <v>8</v>
      </c>
      <c r="AJ92" s="43"/>
      <c r="AK92" s="43"/>
      <c r="AL92" s="43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</row>
    <row r="93" s="24" customFormat="1" ht="21" customHeight="1" spans="1:52">
      <c r="A93" s="36">
        <v>45</v>
      </c>
      <c r="B93" s="35" t="s">
        <v>32</v>
      </c>
      <c r="C93" s="36" t="s">
        <v>109</v>
      </c>
      <c r="D93" s="37" t="s">
        <v>34</v>
      </c>
      <c r="E93" s="44" t="s">
        <v>35</v>
      </c>
      <c r="F93" s="44" t="s">
        <v>35</v>
      </c>
      <c r="G93" s="44" t="s">
        <v>35</v>
      </c>
      <c r="H93" s="44" t="s">
        <v>35</v>
      </c>
      <c r="I93" s="44" t="s">
        <v>35</v>
      </c>
      <c r="J93" s="39"/>
      <c r="K93" s="39" t="s">
        <v>36</v>
      </c>
      <c r="L93" s="44" t="s">
        <v>110</v>
      </c>
      <c r="M93" s="44" t="s">
        <v>35</v>
      </c>
      <c r="N93" s="44" t="s">
        <v>35</v>
      </c>
      <c r="O93" s="44" t="s">
        <v>110</v>
      </c>
      <c r="P93" s="44" t="s">
        <v>35</v>
      </c>
      <c r="Q93" s="39" t="s">
        <v>36</v>
      </c>
      <c r="R93" s="39" t="s">
        <v>36</v>
      </c>
      <c r="S93" s="44" t="s">
        <v>35</v>
      </c>
      <c r="T93" s="44" t="s">
        <v>35</v>
      </c>
      <c r="U93" s="44" t="s">
        <v>35</v>
      </c>
      <c r="V93" s="44" t="s">
        <v>35</v>
      </c>
      <c r="W93" s="40" t="s">
        <v>36</v>
      </c>
      <c r="X93" s="39" t="s">
        <v>36</v>
      </c>
      <c r="Y93" s="39" t="s">
        <v>36</v>
      </c>
      <c r="Z93" s="44" t="s">
        <v>35</v>
      </c>
      <c r="AA93" s="44" t="s">
        <v>35</v>
      </c>
      <c r="AB93" s="44" t="s">
        <v>35</v>
      </c>
      <c r="AC93" s="44" t="s">
        <v>35</v>
      </c>
      <c r="AD93" s="44" t="s">
        <v>47</v>
      </c>
      <c r="AE93" s="39" t="s">
        <v>36</v>
      </c>
      <c r="AF93" s="39" t="s">
        <v>36</v>
      </c>
      <c r="AG93" s="44" t="s">
        <v>35</v>
      </c>
      <c r="AH93" s="44" t="s">
        <v>54</v>
      </c>
      <c r="AI93" s="37">
        <v>20</v>
      </c>
      <c r="AJ93" s="35">
        <f t="shared" si="84"/>
        <v>29</v>
      </c>
      <c r="AK93" s="35">
        <v>0</v>
      </c>
      <c r="AL93" s="35">
        <f t="shared" si="85"/>
        <v>16</v>
      </c>
      <c r="AM93" s="36">
        <f t="shared" si="86"/>
        <v>4</v>
      </c>
      <c r="AN93" s="36">
        <f t="shared" si="87"/>
        <v>0</v>
      </c>
      <c r="AO93" s="36">
        <f t="shared" si="88"/>
        <v>168</v>
      </c>
      <c r="AP93" s="36">
        <f t="shared" si="89"/>
        <v>178</v>
      </c>
      <c r="AQ93" s="36">
        <v>10</v>
      </c>
      <c r="AR93" s="36">
        <f>49-AQ93</f>
        <v>39</v>
      </c>
      <c r="AS93" s="36">
        <v>0</v>
      </c>
      <c r="AT93" s="36">
        <v>0</v>
      </c>
      <c r="AU93" s="36">
        <v>0</v>
      </c>
      <c r="AV93" s="36">
        <v>0</v>
      </c>
      <c r="AW93" s="36">
        <v>0</v>
      </c>
      <c r="AX93" s="36">
        <v>0</v>
      </c>
      <c r="AY93" s="36">
        <v>0</v>
      </c>
      <c r="AZ93" s="36">
        <v>0</v>
      </c>
    </row>
    <row r="94" s="24" customFormat="1" ht="21" customHeight="1" spans="1:52">
      <c r="A94" s="42"/>
      <c r="B94" s="43"/>
      <c r="C94" s="42"/>
      <c r="D94" s="37" t="s">
        <v>37</v>
      </c>
      <c r="E94" s="38">
        <v>1.5</v>
      </c>
      <c r="F94" s="38"/>
      <c r="G94" s="38">
        <v>2</v>
      </c>
      <c r="H94" s="38">
        <v>1.5</v>
      </c>
      <c r="I94" s="38"/>
      <c r="J94" s="39">
        <v>4</v>
      </c>
      <c r="K94" s="39"/>
      <c r="L94" s="38">
        <v>2</v>
      </c>
      <c r="M94" s="38">
        <v>2</v>
      </c>
      <c r="N94" s="38">
        <v>2</v>
      </c>
      <c r="O94" s="38"/>
      <c r="P94" s="38">
        <v>1</v>
      </c>
      <c r="Q94" s="39"/>
      <c r="R94" s="39"/>
      <c r="S94" s="38"/>
      <c r="T94" s="38"/>
      <c r="U94" s="38">
        <v>2</v>
      </c>
      <c r="V94" s="38"/>
      <c r="W94" s="40"/>
      <c r="X94" s="39"/>
      <c r="Y94" s="39"/>
      <c r="Z94" s="38"/>
      <c r="AA94" s="38"/>
      <c r="AB94" s="38">
        <v>1</v>
      </c>
      <c r="AC94" s="38">
        <v>1</v>
      </c>
      <c r="AD94" s="38"/>
      <c r="AE94" s="39"/>
      <c r="AF94" s="39"/>
      <c r="AG94" s="38"/>
      <c r="AH94" s="38"/>
      <c r="AI94" s="37">
        <v>9</v>
      </c>
      <c r="AJ94" s="43"/>
      <c r="AK94" s="43"/>
      <c r="AL94" s="43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</row>
    <row r="95" s="24" customFormat="1" ht="21" customHeight="1" spans="1:52">
      <c r="A95" s="36">
        <v>46</v>
      </c>
      <c r="B95" s="35" t="s">
        <v>32</v>
      </c>
      <c r="C95" s="36" t="s">
        <v>111</v>
      </c>
      <c r="D95" s="37" t="s">
        <v>34</v>
      </c>
      <c r="E95" s="44" t="s">
        <v>39</v>
      </c>
      <c r="F95" s="44" t="s">
        <v>39</v>
      </c>
      <c r="G95" s="44" t="s">
        <v>39</v>
      </c>
      <c r="H95" s="44" t="s">
        <v>39</v>
      </c>
      <c r="I95" s="44" t="s">
        <v>39</v>
      </c>
      <c r="J95" s="39" t="s">
        <v>39</v>
      </c>
      <c r="K95" s="39" t="s">
        <v>39</v>
      </c>
      <c r="L95" s="44" t="s">
        <v>39</v>
      </c>
      <c r="M95" s="44" t="s">
        <v>39</v>
      </c>
      <c r="N95" s="44" t="s">
        <v>39</v>
      </c>
      <c r="O95" s="44" t="s">
        <v>39</v>
      </c>
      <c r="P95" s="44" t="s">
        <v>39</v>
      </c>
      <c r="Q95" s="39" t="s">
        <v>39</v>
      </c>
      <c r="R95" s="39" t="s">
        <v>39</v>
      </c>
      <c r="S95" s="44" t="s">
        <v>35</v>
      </c>
      <c r="T95" s="44" t="s">
        <v>35</v>
      </c>
      <c r="U95" s="44" t="s">
        <v>35</v>
      </c>
      <c r="V95" s="44" t="s">
        <v>35</v>
      </c>
      <c r="W95" s="40" t="s">
        <v>36</v>
      </c>
      <c r="X95" s="39" t="s">
        <v>36</v>
      </c>
      <c r="Y95" s="39" t="s">
        <v>36</v>
      </c>
      <c r="Z95" s="44" t="s">
        <v>35</v>
      </c>
      <c r="AA95" s="44" t="s">
        <v>35</v>
      </c>
      <c r="AB95" s="44" t="s">
        <v>35</v>
      </c>
      <c r="AC95" s="44" t="s">
        <v>35</v>
      </c>
      <c r="AD95" s="44" t="s">
        <v>35</v>
      </c>
      <c r="AE95" s="39"/>
      <c r="AF95" s="39" t="s">
        <v>36</v>
      </c>
      <c r="AG95" s="44" t="s">
        <v>35</v>
      </c>
      <c r="AH95" s="44" t="s">
        <v>39</v>
      </c>
      <c r="AI95" s="37">
        <v>10</v>
      </c>
      <c r="AJ95" s="35">
        <f t="shared" ref="AJ95:AJ99" si="90">AI95+AI96</f>
        <v>18</v>
      </c>
      <c r="AK95" s="35">
        <v>15</v>
      </c>
      <c r="AL95" s="35">
        <f t="shared" ref="AL95:AL99" si="91">E96+F96+G96+H96+I96+L96+M96+N96+O96+P96+S96+T96+U96+V96+Z96+AA96+AB96+AC96+AD96+AG96+AH96</f>
        <v>21.5</v>
      </c>
      <c r="AM95" s="36">
        <f t="shared" ref="AM95:AM99" si="92">J96+K96+Q96+R96+X96+Y96+AE96+AF96</f>
        <v>24</v>
      </c>
      <c r="AN95" s="36">
        <f t="shared" ref="AN95:AN99" si="93">W96</f>
        <v>0</v>
      </c>
      <c r="AO95" s="36">
        <f t="shared" ref="AO95:AO99" si="94">21*8</f>
        <v>168</v>
      </c>
      <c r="AP95" s="36">
        <f t="shared" ref="AP95:AP99" si="95">AL95+AM95+AN95+AO95-AQ95-AS95-AT95-AV95-AW95-AX95-AY95-AZ95-AU95</f>
        <v>213.5</v>
      </c>
      <c r="AQ95" s="36">
        <v>0</v>
      </c>
      <c r="AR95" s="36">
        <v>46.5</v>
      </c>
      <c r="AS95" s="36">
        <v>0</v>
      </c>
      <c r="AT95" s="36">
        <v>0</v>
      </c>
      <c r="AU95" s="36">
        <v>0</v>
      </c>
      <c r="AV95" s="36">
        <v>0</v>
      </c>
      <c r="AW95" s="36">
        <v>0</v>
      </c>
      <c r="AX95" s="36">
        <v>0</v>
      </c>
      <c r="AY95" s="36">
        <v>0</v>
      </c>
      <c r="AZ95" s="36">
        <v>0</v>
      </c>
    </row>
    <row r="96" s="24" customFormat="1" ht="21" customHeight="1" spans="1:52">
      <c r="A96" s="42"/>
      <c r="B96" s="43"/>
      <c r="C96" s="42"/>
      <c r="D96" s="37" t="s">
        <v>37</v>
      </c>
      <c r="E96" s="38">
        <v>1.5</v>
      </c>
      <c r="F96" s="38">
        <v>1.5</v>
      </c>
      <c r="G96" s="38">
        <v>2</v>
      </c>
      <c r="H96" s="38">
        <v>1.5</v>
      </c>
      <c r="I96" s="38"/>
      <c r="J96" s="39"/>
      <c r="K96" s="39"/>
      <c r="L96" s="38"/>
      <c r="M96" s="38"/>
      <c r="N96" s="38">
        <v>3</v>
      </c>
      <c r="O96" s="38">
        <v>1.5</v>
      </c>
      <c r="P96" s="38"/>
      <c r="Q96" s="39">
        <v>8</v>
      </c>
      <c r="R96" s="39">
        <v>8</v>
      </c>
      <c r="S96" s="38">
        <v>1.5</v>
      </c>
      <c r="T96" s="38"/>
      <c r="U96" s="38">
        <v>1.5</v>
      </c>
      <c r="V96" s="38"/>
      <c r="W96" s="40"/>
      <c r="X96" s="39"/>
      <c r="Y96" s="39"/>
      <c r="Z96" s="38">
        <v>1.5</v>
      </c>
      <c r="AA96" s="38">
        <v>1.5</v>
      </c>
      <c r="AB96" s="38">
        <v>1.5</v>
      </c>
      <c r="AC96" s="38">
        <v>1.5</v>
      </c>
      <c r="AD96" s="38"/>
      <c r="AE96" s="39">
        <v>8</v>
      </c>
      <c r="AF96" s="39"/>
      <c r="AG96" s="38">
        <v>1.5</v>
      </c>
      <c r="AH96" s="38"/>
      <c r="AI96" s="37">
        <v>8</v>
      </c>
      <c r="AJ96" s="43"/>
      <c r="AK96" s="43"/>
      <c r="AL96" s="43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</row>
    <row r="97" s="24" customFormat="1" ht="21" customHeight="1" spans="1:52">
      <c r="A97" s="36">
        <v>47</v>
      </c>
      <c r="B97" s="35" t="s">
        <v>32</v>
      </c>
      <c r="C97" s="36" t="s">
        <v>112</v>
      </c>
      <c r="D97" s="37" t="s">
        <v>34</v>
      </c>
      <c r="E97" s="44" t="s">
        <v>35</v>
      </c>
      <c r="F97" s="44" t="s">
        <v>35</v>
      </c>
      <c r="G97" s="44" t="s">
        <v>35</v>
      </c>
      <c r="H97" s="44" t="s">
        <v>35</v>
      </c>
      <c r="I97" s="44" t="s">
        <v>35</v>
      </c>
      <c r="J97" s="39"/>
      <c r="K97" s="39"/>
      <c r="L97" s="44" t="s">
        <v>35</v>
      </c>
      <c r="M97" s="44" t="s">
        <v>79</v>
      </c>
      <c r="N97" s="44" t="s">
        <v>35</v>
      </c>
      <c r="O97" s="44" t="s">
        <v>35</v>
      </c>
      <c r="P97" s="44" t="s">
        <v>35</v>
      </c>
      <c r="Q97" s="39" t="s">
        <v>36</v>
      </c>
      <c r="R97" s="39" t="s">
        <v>36</v>
      </c>
      <c r="S97" s="44" t="s">
        <v>35</v>
      </c>
      <c r="T97" s="44" t="s">
        <v>79</v>
      </c>
      <c r="U97" s="44" t="s">
        <v>35</v>
      </c>
      <c r="V97" s="44" t="s">
        <v>79</v>
      </c>
      <c r="W97" s="40" t="s">
        <v>36</v>
      </c>
      <c r="X97" s="39" t="s">
        <v>36</v>
      </c>
      <c r="Y97" s="39" t="s">
        <v>36</v>
      </c>
      <c r="Z97" s="44" t="s">
        <v>35</v>
      </c>
      <c r="AA97" s="44" t="s">
        <v>35</v>
      </c>
      <c r="AB97" s="44" t="s">
        <v>35</v>
      </c>
      <c r="AC97" s="44" t="s">
        <v>35</v>
      </c>
      <c r="AD97" s="44" t="s">
        <v>35</v>
      </c>
      <c r="AE97" s="39" t="s">
        <v>36</v>
      </c>
      <c r="AF97" s="39" t="s">
        <v>36</v>
      </c>
      <c r="AG97" s="44" t="s">
        <v>107</v>
      </c>
      <c r="AH97" s="44" t="s">
        <v>35</v>
      </c>
      <c r="AI97" s="37">
        <v>18</v>
      </c>
      <c r="AJ97" s="35">
        <f t="shared" si="90"/>
        <v>26</v>
      </c>
      <c r="AK97" s="35">
        <v>0</v>
      </c>
      <c r="AL97" s="35">
        <f t="shared" si="91"/>
        <v>14</v>
      </c>
      <c r="AM97" s="36">
        <f t="shared" si="92"/>
        <v>16</v>
      </c>
      <c r="AN97" s="36">
        <f t="shared" si="93"/>
        <v>0</v>
      </c>
      <c r="AO97" s="36">
        <f t="shared" si="94"/>
        <v>168</v>
      </c>
      <c r="AP97" s="36">
        <f t="shared" si="95"/>
        <v>169.5</v>
      </c>
      <c r="AQ97" s="36">
        <v>4.5</v>
      </c>
      <c r="AR97" s="36">
        <f>15.5-AQ97</f>
        <v>11</v>
      </c>
      <c r="AS97" s="36">
        <v>24</v>
      </c>
      <c r="AT97" s="36">
        <v>0</v>
      </c>
      <c r="AU97" s="36">
        <v>0</v>
      </c>
      <c r="AV97" s="36">
        <v>0</v>
      </c>
      <c r="AW97" s="36">
        <v>0</v>
      </c>
      <c r="AX97" s="36">
        <v>0</v>
      </c>
      <c r="AY97" s="36">
        <v>0</v>
      </c>
      <c r="AZ97" s="36">
        <v>0</v>
      </c>
    </row>
    <row r="98" s="24" customFormat="1" ht="21" customHeight="1" spans="1:52">
      <c r="A98" s="42"/>
      <c r="B98" s="43"/>
      <c r="C98" s="42"/>
      <c r="D98" s="37" t="s">
        <v>37</v>
      </c>
      <c r="E98" s="38">
        <v>2</v>
      </c>
      <c r="F98" s="38"/>
      <c r="G98" s="38">
        <v>1.5</v>
      </c>
      <c r="H98" s="38">
        <v>1.5</v>
      </c>
      <c r="I98" s="38"/>
      <c r="J98" s="39">
        <v>9.5</v>
      </c>
      <c r="K98" s="39">
        <v>6.5</v>
      </c>
      <c r="L98" s="38">
        <v>1.5</v>
      </c>
      <c r="M98" s="38"/>
      <c r="N98" s="38"/>
      <c r="O98" s="38">
        <v>1.5</v>
      </c>
      <c r="P98" s="38"/>
      <c r="Q98" s="39"/>
      <c r="R98" s="39"/>
      <c r="S98" s="38"/>
      <c r="T98" s="38"/>
      <c r="U98" s="38">
        <v>1.5</v>
      </c>
      <c r="V98" s="38"/>
      <c r="W98" s="40"/>
      <c r="X98" s="39"/>
      <c r="Y98" s="39"/>
      <c r="Z98" s="38"/>
      <c r="AA98" s="38">
        <v>1.5</v>
      </c>
      <c r="AB98" s="38">
        <v>1.5</v>
      </c>
      <c r="AC98" s="38">
        <v>1.5</v>
      </c>
      <c r="AD98" s="38"/>
      <c r="AE98" s="39"/>
      <c r="AF98" s="39"/>
      <c r="AG98" s="38"/>
      <c r="AH98" s="38"/>
      <c r="AI98" s="37">
        <v>8</v>
      </c>
      <c r="AJ98" s="43"/>
      <c r="AK98" s="43"/>
      <c r="AL98" s="43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</row>
    <row r="99" s="24" customFormat="1" ht="21" customHeight="1" spans="1:52">
      <c r="A99" s="36">
        <v>48</v>
      </c>
      <c r="B99" s="35" t="s">
        <v>32</v>
      </c>
      <c r="C99" s="36" t="s">
        <v>113</v>
      </c>
      <c r="D99" s="37" t="s">
        <v>34</v>
      </c>
      <c r="E99" s="44" t="s">
        <v>39</v>
      </c>
      <c r="F99" s="44" t="s">
        <v>39</v>
      </c>
      <c r="G99" s="44" t="s">
        <v>35</v>
      </c>
      <c r="H99" s="44" t="s">
        <v>39</v>
      </c>
      <c r="I99" s="44" t="s">
        <v>39</v>
      </c>
      <c r="J99" s="39" t="s">
        <v>36</v>
      </c>
      <c r="K99" s="39" t="s">
        <v>36</v>
      </c>
      <c r="L99" s="44" t="s">
        <v>35</v>
      </c>
      <c r="M99" s="44" t="s">
        <v>35</v>
      </c>
      <c r="N99" s="44" t="s">
        <v>35</v>
      </c>
      <c r="O99" s="44" t="s">
        <v>35</v>
      </c>
      <c r="P99" s="44" t="s">
        <v>35</v>
      </c>
      <c r="Q99" s="39" t="s">
        <v>36</v>
      </c>
      <c r="R99" s="39" t="s">
        <v>36</v>
      </c>
      <c r="S99" s="44" t="s">
        <v>39</v>
      </c>
      <c r="T99" s="44" t="s">
        <v>39</v>
      </c>
      <c r="U99" s="44" t="s">
        <v>39</v>
      </c>
      <c r="V99" s="44" t="s">
        <v>39</v>
      </c>
      <c r="W99" s="40" t="s">
        <v>39</v>
      </c>
      <c r="X99" s="39" t="s">
        <v>39</v>
      </c>
      <c r="Y99" s="39" t="s">
        <v>36</v>
      </c>
      <c r="Z99" s="44" t="s">
        <v>35</v>
      </c>
      <c r="AA99" s="44" t="s">
        <v>35</v>
      </c>
      <c r="AB99" s="44" t="s">
        <v>35</v>
      </c>
      <c r="AC99" s="44" t="s">
        <v>39</v>
      </c>
      <c r="AD99" s="44" t="s">
        <v>39</v>
      </c>
      <c r="AE99" s="39" t="s">
        <v>39</v>
      </c>
      <c r="AF99" s="39" t="s">
        <v>36</v>
      </c>
      <c r="AG99" s="44" t="s">
        <v>35</v>
      </c>
      <c r="AH99" s="44" t="s">
        <v>35</v>
      </c>
      <c r="AI99" s="37">
        <v>11</v>
      </c>
      <c r="AJ99" s="35">
        <f t="shared" si="90"/>
        <v>11</v>
      </c>
      <c r="AK99" s="35">
        <v>13</v>
      </c>
      <c r="AL99" s="35">
        <f t="shared" si="91"/>
        <v>0</v>
      </c>
      <c r="AM99" s="36">
        <f t="shared" si="92"/>
        <v>0</v>
      </c>
      <c r="AN99" s="36">
        <f t="shared" si="93"/>
        <v>13</v>
      </c>
      <c r="AO99" s="36">
        <f t="shared" si="94"/>
        <v>168</v>
      </c>
      <c r="AP99" s="36">
        <f t="shared" si="95"/>
        <v>181</v>
      </c>
      <c r="AQ99" s="36">
        <v>0</v>
      </c>
      <c r="AR99" s="36">
        <v>60.5</v>
      </c>
      <c r="AS99" s="36">
        <v>0</v>
      </c>
      <c r="AT99" s="36">
        <v>0</v>
      </c>
      <c r="AU99" s="36">
        <v>0</v>
      </c>
      <c r="AV99" s="36">
        <v>0</v>
      </c>
      <c r="AW99" s="36">
        <v>0</v>
      </c>
      <c r="AX99" s="36">
        <v>0</v>
      </c>
      <c r="AY99" s="36">
        <v>0</v>
      </c>
      <c r="AZ99" s="36">
        <v>0</v>
      </c>
    </row>
    <row r="100" s="24" customFormat="1" ht="21" customHeight="1" spans="1:52">
      <c r="A100" s="42"/>
      <c r="B100" s="43"/>
      <c r="C100" s="42"/>
      <c r="D100" s="37" t="s">
        <v>37</v>
      </c>
      <c r="E100" s="38"/>
      <c r="F100" s="38"/>
      <c r="G100" s="38"/>
      <c r="H100" s="38"/>
      <c r="I100" s="38"/>
      <c r="J100" s="39"/>
      <c r="K100" s="39"/>
      <c r="L100" s="38"/>
      <c r="M100" s="38"/>
      <c r="N100" s="38"/>
      <c r="O100" s="38"/>
      <c r="P100" s="38"/>
      <c r="Q100" s="39"/>
      <c r="R100" s="39"/>
      <c r="S100" s="38"/>
      <c r="T100" s="38"/>
      <c r="U100" s="38"/>
      <c r="V100" s="38"/>
      <c r="W100" s="40">
        <v>13</v>
      </c>
      <c r="X100" s="39"/>
      <c r="Y100" s="39"/>
      <c r="Z100" s="38"/>
      <c r="AA100" s="38"/>
      <c r="AB100" s="38"/>
      <c r="AC100" s="38"/>
      <c r="AD100" s="38"/>
      <c r="AE100" s="39"/>
      <c r="AF100" s="39"/>
      <c r="AG100" s="38"/>
      <c r="AH100" s="38"/>
      <c r="AI100" s="37">
        <v>0</v>
      </c>
      <c r="AJ100" s="43"/>
      <c r="AK100" s="43"/>
      <c r="AL100" s="43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</row>
    <row r="101" s="24" customFormat="1" ht="21" customHeight="1" spans="1:52">
      <c r="A101" s="36">
        <v>49</v>
      </c>
      <c r="B101" s="35" t="s">
        <v>32</v>
      </c>
      <c r="C101" s="36" t="s">
        <v>114</v>
      </c>
      <c r="D101" s="37" t="s">
        <v>34</v>
      </c>
      <c r="E101" s="44" t="s">
        <v>35</v>
      </c>
      <c r="F101" s="44" t="s">
        <v>35</v>
      </c>
      <c r="G101" s="44" t="s">
        <v>35</v>
      </c>
      <c r="H101" s="44" t="s">
        <v>35</v>
      </c>
      <c r="I101" s="44" t="s">
        <v>35</v>
      </c>
      <c r="J101" s="39"/>
      <c r="K101" s="39" t="s">
        <v>36</v>
      </c>
      <c r="L101" s="44" t="s">
        <v>35</v>
      </c>
      <c r="M101" s="44" t="s">
        <v>35</v>
      </c>
      <c r="N101" s="44" t="s">
        <v>35</v>
      </c>
      <c r="O101" s="44" t="s">
        <v>35</v>
      </c>
      <c r="P101" s="44" t="s">
        <v>35</v>
      </c>
      <c r="Q101" s="39"/>
      <c r="R101" s="39"/>
      <c r="S101" s="44" t="s">
        <v>35</v>
      </c>
      <c r="T101" s="44" t="s">
        <v>35</v>
      </c>
      <c r="U101" s="44" t="s">
        <v>35</v>
      </c>
      <c r="V101" s="44" t="s">
        <v>35</v>
      </c>
      <c r="W101" s="40"/>
      <c r="X101" s="39"/>
      <c r="Y101" s="39" t="s">
        <v>36</v>
      </c>
      <c r="Z101" s="44" t="s">
        <v>35</v>
      </c>
      <c r="AA101" s="44" t="s">
        <v>35</v>
      </c>
      <c r="AB101" s="44" t="s">
        <v>35</v>
      </c>
      <c r="AC101" s="44" t="s">
        <v>35</v>
      </c>
      <c r="AD101" s="44" t="s">
        <v>107</v>
      </c>
      <c r="AE101" s="39"/>
      <c r="AF101" s="39"/>
      <c r="AG101" s="44" t="s">
        <v>35</v>
      </c>
      <c r="AH101" s="44" t="s">
        <v>35</v>
      </c>
      <c r="AI101" s="37">
        <v>21</v>
      </c>
      <c r="AJ101" s="35">
        <f t="shared" ref="AJ101:AJ105" si="96">AI101+AI102</f>
        <v>50</v>
      </c>
      <c r="AK101" s="35">
        <v>0</v>
      </c>
      <c r="AL101" s="35">
        <f t="shared" ref="AL101:AL105" si="97">E102+F102+G102+H102+I102+L102+M102+N102+O102+P102+S102+T102+U102+V102+Z102+AA102+AB102+AC102+AD102+AG102+AH102</f>
        <v>47.5</v>
      </c>
      <c r="AM101" s="36">
        <f t="shared" ref="AM101:AM105" si="98">J102+K102+Q102+R102+X102+Y102+AE102+AF102</f>
        <v>57</v>
      </c>
      <c r="AN101" s="36">
        <f t="shared" ref="AN101:AN105" si="99">W102</f>
        <v>8</v>
      </c>
      <c r="AO101" s="36">
        <f>21*8</f>
        <v>168</v>
      </c>
      <c r="AP101" s="36">
        <f t="shared" ref="AP101:AP105" si="100">AL101+AM101+AN101+AO101-AQ101-AS101-AT101-AV101-AW101-AX101-AY101-AZ101-AU101</f>
        <v>276</v>
      </c>
      <c r="AQ101" s="36">
        <v>4.5</v>
      </c>
      <c r="AR101" s="36">
        <f>23.5-AQ101</f>
        <v>19</v>
      </c>
      <c r="AS101" s="36">
        <v>0</v>
      </c>
      <c r="AT101" s="36">
        <v>0</v>
      </c>
      <c r="AU101" s="36">
        <v>0</v>
      </c>
      <c r="AV101" s="36">
        <v>0</v>
      </c>
      <c r="AW101" s="36">
        <v>0</v>
      </c>
      <c r="AX101" s="36">
        <v>0</v>
      </c>
      <c r="AY101" s="36">
        <v>0</v>
      </c>
      <c r="AZ101" s="36">
        <v>0</v>
      </c>
    </row>
    <row r="102" s="24" customFormat="1" ht="21" customHeight="1" spans="1:52">
      <c r="A102" s="42"/>
      <c r="B102" s="43"/>
      <c r="C102" s="42"/>
      <c r="D102" s="37" t="s">
        <v>37</v>
      </c>
      <c r="E102" s="38"/>
      <c r="F102" s="38"/>
      <c r="G102" s="38">
        <v>3</v>
      </c>
      <c r="H102" s="38">
        <v>3</v>
      </c>
      <c r="I102" s="38">
        <v>3</v>
      </c>
      <c r="J102" s="39">
        <v>10</v>
      </c>
      <c r="K102" s="39"/>
      <c r="L102" s="38">
        <v>3</v>
      </c>
      <c r="M102" s="38">
        <v>3</v>
      </c>
      <c r="N102" s="38">
        <v>1.5</v>
      </c>
      <c r="O102" s="38">
        <v>2</v>
      </c>
      <c r="P102" s="38">
        <v>3</v>
      </c>
      <c r="Q102" s="39">
        <v>11</v>
      </c>
      <c r="R102" s="39">
        <v>8</v>
      </c>
      <c r="S102" s="38">
        <v>3</v>
      </c>
      <c r="T102" s="38">
        <v>3</v>
      </c>
      <c r="U102" s="38">
        <v>3</v>
      </c>
      <c r="V102" s="38">
        <v>3</v>
      </c>
      <c r="W102" s="40">
        <v>8</v>
      </c>
      <c r="X102" s="39">
        <v>11</v>
      </c>
      <c r="Y102" s="39"/>
      <c r="Z102" s="38">
        <v>1.5</v>
      </c>
      <c r="AA102" s="38">
        <v>3</v>
      </c>
      <c r="AB102" s="38">
        <v>2.5</v>
      </c>
      <c r="AC102" s="38">
        <v>2.5</v>
      </c>
      <c r="AD102" s="38"/>
      <c r="AE102" s="39">
        <v>10</v>
      </c>
      <c r="AF102" s="39">
        <v>7</v>
      </c>
      <c r="AG102" s="38">
        <v>2.5</v>
      </c>
      <c r="AH102" s="38">
        <v>2</v>
      </c>
      <c r="AI102" s="37">
        <v>29</v>
      </c>
      <c r="AJ102" s="43"/>
      <c r="AK102" s="43"/>
      <c r="AL102" s="43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</row>
    <row r="103" s="24" customFormat="1" ht="21" customHeight="1" spans="1:52">
      <c r="A103" s="36">
        <v>50</v>
      </c>
      <c r="B103" s="35" t="s">
        <v>32</v>
      </c>
      <c r="C103" s="36" t="s">
        <v>115</v>
      </c>
      <c r="D103" s="37" t="s">
        <v>34</v>
      </c>
      <c r="E103" s="44" t="s">
        <v>35</v>
      </c>
      <c r="F103" s="44" t="s">
        <v>35</v>
      </c>
      <c r="G103" s="44" t="s">
        <v>35</v>
      </c>
      <c r="H103" s="44" t="s">
        <v>35</v>
      </c>
      <c r="I103" s="44" t="s">
        <v>35</v>
      </c>
      <c r="J103" s="39" t="s">
        <v>39</v>
      </c>
      <c r="K103" s="39" t="s">
        <v>39</v>
      </c>
      <c r="L103" s="44" t="s">
        <v>39</v>
      </c>
      <c r="M103" s="44" t="s">
        <v>39</v>
      </c>
      <c r="N103" s="44" t="s">
        <v>39</v>
      </c>
      <c r="O103" s="44" t="s">
        <v>39</v>
      </c>
      <c r="P103" s="44" t="s">
        <v>35</v>
      </c>
      <c r="Q103" s="39" t="s">
        <v>35</v>
      </c>
      <c r="R103" s="39" t="s">
        <v>36</v>
      </c>
      <c r="S103" s="44" t="s">
        <v>39</v>
      </c>
      <c r="T103" s="44" t="s">
        <v>39</v>
      </c>
      <c r="U103" s="44" t="s">
        <v>35</v>
      </c>
      <c r="V103" s="44" t="s">
        <v>39</v>
      </c>
      <c r="W103" s="40" t="s">
        <v>36</v>
      </c>
      <c r="X103" s="39" t="s">
        <v>36</v>
      </c>
      <c r="Y103" s="39" t="s">
        <v>36</v>
      </c>
      <c r="Z103" s="44" t="s">
        <v>39</v>
      </c>
      <c r="AA103" s="44" t="s">
        <v>39</v>
      </c>
      <c r="AB103" s="44" t="s">
        <v>35</v>
      </c>
      <c r="AC103" s="44" t="s">
        <v>35</v>
      </c>
      <c r="AD103" s="44" t="s">
        <v>35</v>
      </c>
      <c r="AE103" s="39" t="s">
        <v>36</v>
      </c>
      <c r="AF103" s="39" t="s">
        <v>36</v>
      </c>
      <c r="AG103" s="44" t="s">
        <v>39</v>
      </c>
      <c r="AH103" s="44" t="s">
        <v>39</v>
      </c>
      <c r="AI103" s="37">
        <v>10</v>
      </c>
      <c r="AJ103" s="35">
        <f t="shared" si="96"/>
        <v>14</v>
      </c>
      <c r="AK103" s="35">
        <v>13</v>
      </c>
      <c r="AL103" s="35">
        <f t="shared" si="97"/>
        <v>0</v>
      </c>
      <c r="AM103" s="36">
        <f t="shared" si="98"/>
        <v>0</v>
      </c>
      <c r="AN103" s="36">
        <f t="shared" si="99"/>
        <v>0</v>
      </c>
      <c r="AO103" s="36">
        <f>21*8</f>
        <v>168</v>
      </c>
      <c r="AP103" s="36">
        <f t="shared" si="100"/>
        <v>168</v>
      </c>
      <c r="AQ103" s="36">
        <v>0</v>
      </c>
      <c r="AR103" s="36">
        <v>35.5</v>
      </c>
      <c r="AS103" s="36">
        <v>0</v>
      </c>
      <c r="AT103" s="36">
        <v>0</v>
      </c>
      <c r="AU103" s="36">
        <v>0</v>
      </c>
      <c r="AV103" s="36">
        <v>0</v>
      </c>
      <c r="AW103" s="36">
        <v>0</v>
      </c>
      <c r="AX103" s="36">
        <v>0</v>
      </c>
      <c r="AY103" s="36">
        <v>0</v>
      </c>
      <c r="AZ103" s="36">
        <v>0</v>
      </c>
    </row>
    <row r="104" s="24" customFormat="1" ht="21" customHeight="1" spans="1:52">
      <c r="A104" s="42"/>
      <c r="B104" s="43"/>
      <c r="C104" s="42"/>
      <c r="D104" s="37" t="s">
        <v>37</v>
      </c>
      <c r="E104" s="38"/>
      <c r="F104" s="38"/>
      <c r="G104" s="38"/>
      <c r="H104" s="38"/>
      <c r="I104" s="38"/>
      <c r="J104" s="39"/>
      <c r="K104" s="39"/>
      <c r="L104" s="38"/>
      <c r="M104" s="38"/>
      <c r="N104" s="38"/>
      <c r="O104" s="38"/>
      <c r="P104" s="38"/>
      <c r="Q104" s="39"/>
      <c r="R104" s="39"/>
      <c r="S104" s="38"/>
      <c r="T104" s="38"/>
      <c r="U104" s="38"/>
      <c r="V104" s="38"/>
      <c r="W104" s="40"/>
      <c r="X104" s="39"/>
      <c r="Y104" s="39"/>
      <c r="Z104" s="38"/>
      <c r="AA104" s="38"/>
      <c r="AB104" s="38"/>
      <c r="AC104" s="38"/>
      <c r="AD104" s="38"/>
      <c r="AE104" s="39"/>
      <c r="AF104" s="39"/>
      <c r="AG104" s="38"/>
      <c r="AH104" s="38"/>
      <c r="AI104" s="37">
        <v>4</v>
      </c>
      <c r="AJ104" s="43"/>
      <c r="AK104" s="43"/>
      <c r="AL104" s="43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</row>
    <row r="105" s="24" customFormat="1" ht="21" customHeight="1" spans="1:52">
      <c r="A105" s="36">
        <v>51</v>
      </c>
      <c r="B105" s="35" t="s">
        <v>32</v>
      </c>
      <c r="C105" s="36" t="s">
        <v>116</v>
      </c>
      <c r="D105" s="37" t="s">
        <v>34</v>
      </c>
      <c r="E105" s="44" t="s">
        <v>35</v>
      </c>
      <c r="F105" s="44" t="s">
        <v>35</v>
      </c>
      <c r="G105" s="44" t="s">
        <v>35</v>
      </c>
      <c r="H105" s="44" t="s">
        <v>35</v>
      </c>
      <c r="I105" s="44" t="s">
        <v>97</v>
      </c>
      <c r="J105" s="45" t="s">
        <v>36</v>
      </c>
      <c r="K105" s="45"/>
      <c r="L105" s="44" t="s">
        <v>35</v>
      </c>
      <c r="M105" s="44" t="s">
        <v>35</v>
      </c>
      <c r="N105" s="44" t="s">
        <v>35</v>
      </c>
      <c r="O105" s="44" t="s">
        <v>35</v>
      </c>
      <c r="P105" s="44" t="s">
        <v>35</v>
      </c>
      <c r="Q105" s="45" t="s">
        <v>36</v>
      </c>
      <c r="R105" s="45" t="s">
        <v>36</v>
      </c>
      <c r="S105" s="44" t="s">
        <v>35</v>
      </c>
      <c r="T105" s="44" t="s">
        <v>35</v>
      </c>
      <c r="U105" s="44" t="s">
        <v>117</v>
      </c>
      <c r="V105" s="44"/>
      <c r="W105" s="46"/>
      <c r="X105" s="45"/>
      <c r="Y105" s="45"/>
      <c r="Z105" s="44"/>
      <c r="AA105" s="44"/>
      <c r="AB105" s="44"/>
      <c r="AC105" s="44"/>
      <c r="AD105" s="44"/>
      <c r="AE105" s="45"/>
      <c r="AF105" s="45"/>
      <c r="AG105" s="44"/>
      <c r="AH105" s="44"/>
      <c r="AI105" s="50">
        <v>11</v>
      </c>
      <c r="AJ105" s="51">
        <f t="shared" si="96"/>
        <v>13</v>
      </c>
      <c r="AK105" s="51">
        <v>0</v>
      </c>
      <c r="AL105" s="52">
        <f t="shared" si="97"/>
        <v>1.5</v>
      </c>
      <c r="AM105" s="53">
        <f t="shared" si="98"/>
        <v>2.5</v>
      </c>
      <c r="AN105" s="53">
        <f t="shared" si="99"/>
        <v>0</v>
      </c>
      <c r="AO105" s="53">
        <v>96</v>
      </c>
      <c r="AP105" s="54">
        <f t="shared" si="100"/>
        <v>92</v>
      </c>
      <c r="AQ105" s="54">
        <v>8</v>
      </c>
      <c r="AR105" s="55">
        <f>19-AQ105</f>
        <v>11</v>
      </c>
      <c r="AS105" s="53">
        <v>0</v>
      </c>
      <c r="AT105" s="53">
        <v>0</v>
      </c>
      <c r="AU105" s="53">
        <v>0</v>
      </c>
      <c r="AV105" s="53">
        <v>0</v>
      </c>
      <c r="AW105" s="53">
        <v>0</v>
      </c>
      <c r="AX105" s="53">
        <v>0</v>
      </c>
      <c r="AY105" s="53">
        <v>0</v>
      </c>
      <c r="AZ105" s="53">
        <v>0</v>
      </c>
    </row>
    <row r="106" s="24" customFormat="1" ht="21" customHeight="1" spans="1:52">
      <c r="A106" s="42"/>
      <c r="B106" s="43"/>
      <c r="C106" s="42"/>
      <c r="D106" s="37" t="s">
        <v>37</v>
      </c>
      <c r="E106" s="44"/>
      <c r="F106" s="44"/>
      <c r="G106" s="44"/>
      <c r="H106" s="44"/>
      <c r="I106" s="44"/>
      <c r="J106" s="45"/>
      <c r="K106" s="45">
        <v>2.5</v>
      </c>
      <c r="L106" s="44">
        <v>1.5</v>
      </c>
      <c r="M106" s="44"/>
      <c r="N106" s="44"/>
      <c r="O106" s="44"/>
      <c r="P106" s="44"/>
      <c r="Q106" s="45"/>
      <c r="R106" s="45"/>
      <c r="S106" s="44"/>
      <c r="T106" s="44"/>
      <c r="U106" s="44"/>
      <c r="V106" s="44"/>
      <c r="W106" s="46"/>
      <c r="X106" s="45"/>
      <c r="Y106" s="45"/>
      <c r="Z106" s="44"/>
      <c r="AA106" s="44"/>
      <c r="AB106" s="44"/>
      <c r="AC106" s="44"/>
      <c r="AD106" s="44"/>
      <c r="AE106" s="45"/>
      <c r="AF106" s="45"/>
      <c r="AG106" s="44"/>
      <c r="AH106" s="44"/>
      <c r="AI106" s="50">
        <v>2</v>
      </c>
      <c r="AJ106" s="56"/>
      <c r="AK106" s="56"/>
      <c r="AL106" s="57"/>
      <c r="AM106" s="58"/>
      <c r="AN106" s="58"/>
      <c r="AO106" s="58"/>
      <c r="AP106" s="59"/>
      <c r="AQ106" s="59"/>
      <c r="AR106" s="60"/>
      <c r="AS106" s="58"/>
      <c r="AT106" s="58"/>
      <c r="AU106" s="58"/>
      <c r="AV106" s="58"/>
      <c r="AW106" s="58"/>
      <c r="AX106" s="58"/>
      <c r="AY106" s="58"/>
      <c r="AZ106" s="58"/>
    </row>
    <row r="107" s="24" customFormat="1" ht="21" customHeight="1" spans="1:52">
      <c r="A107" s="36">
        <v>52</v>
      </c>
      <c r="B107" s="35" t="s">
        <v>40</v>
      </c>
      <c r="C107" s="36" t="s">
        <v>118</v>
      </c>
      <c r="D107" s="37" t="s">
        <v>34</v>
      </c>
      <c r="E107" s="44" t="s">
        <v>39</v>
      </c>
      <c r="F107" s="44" t="s">
        <v>39</v>
      </c>
      <c r="G107" s="44" t="s">
        <v>35</v>
      </c>
      <c r="H107" s="44" t="s">
        <v>35</v>
      </c>
      <c r="I107" s="44" t="s">
        <v>35</v>
      </c>
      <c r="J107" s="39" t="s">
        <v>36</v>
      </c>
      <c r="K107" s="39"/>
      <c r="L107" s="44" t="s">
        <v>35</v>
      </c>
      <c r="M107" s="44" t="s">
        <v>35</v>
      </c>
      <c r="N107" s="44" t="s">
        <v>35</v>
      </c>
      <c r="O107" s="44" t="s">
        <v>35</v>
      </c>
      <c r="P107" s="44" t="s">
        <v>35</v>
      </c>
      <c r="Q107" s="39"/>
      <c r="R107" s="39"/>
      <c r="S107" s="44" t="s">
        <v>39</v>
      </c>
      <c r="T107" s="44" t="s">
        <v>39</v>
      </c>
      <c r="U107" s="44" t="s">
        <v>39</v>
      </c>
      <c r="V107" s="44" t="s">
        <v>39</v>
      </c>
      <c r="W107" s="40" t="s">
        <v>39</v>
      </c>
      <c r="X107" s="39" t="s">
        <v>39</v>
      </c>
      <c r="Y107" s="39" t="s">
        <v>39</v>
      </c>
      <c r="Z107" s="44" t="s">
        <v>39</v>
      </c>
      <c r="AA107" s="44" t="s">
        <v>39</v>
      </c>
      <c r="AB107" s="44" t="s">
        <v>39</v>
      </c>
      <c r="AC107" s="44" t="s">
        <v>39</v>
      </c>
      <c r="AD107" s="44" t="s">
        <v>35</v>
      </c>
      <c r="AE107" s="39" t="s">
        <v>36</v>
      </c>
      <c r="AF107" s="39" t="s">
        <v>36</v>
      </c>
      <c r="AG107" s="44" t="s">
        <v>35</v>
      </c>
      <c r="AH107" s="44" t="s">
        <v>35</v>
      </c>
      <c r="AI107" s="37">
        <v>11</v>
      </c>
      <c r="AJ107" s="35">
        <f t="shared" ref="AJ107:AJ111" si="101">AI107+AI108</f>
        <v>18</v>
      </c>
      <c r="AK107" s="35">
        <v>13</v>
      </c>
      <c r="AL107" s="35">
        <f t="shared" ref="AL107:AL111" si="102">E108+F108+G108+H108+I108+L108+M108+N108+O108+P108+S108+T108+U108+V108+Z108+AA108+AB108+AC108+AD108+AG108+AH108</f>
        <v>36</v>
      </c>
      <c r="AM107" s="36">
        <f t="shared" ref="AM107:AM111" si="103">J108+K108+Q108+R108+X108+Y108+AE108+AF108</f>
        <v>42.5</v>
      </c>
      <c r="AN107" s="36">
        <f t="shared" ref="AN107:AN111" si="104">W108</f>
        <v>10</v>
      </c>
      <c r="AO107" s="36">
        <f t="shared" ref="AO107:AO111" si="105">21*8</f>
        <v>168</v>
      </c>
      <c r="AP107" s="36">
        <f t="shared" ref="AP107:AP111" si="106">AL107+AM107+AN107+AO107-AQ107-AS107-AT107-AV107-AW107-AX107-AY107-AZ107-AU107</f>
        <v>256.5</v>
      </c>
      <c r="AQ107" s="36">
        <v>0</v>
      </c>
      <c r="AR107" s="36">
        <v>0</v>
      </c>
      <c r="AS107" s="36">
        <v>0</v>
      </c>
      <c r="AT107" s="36">
        <v>0</v>
      </c>
      <c r="AU107" s="36">
        <v>0</v>
      </c>
      <c r="AV107" s="36">
        <v>0</v>
      </c>
      <c r="AW107" s="36">
        <v>0</v>
      </c>
      <c r="AX107" s="36">
        <v>0</v>
      </c>
      <c r="AY107" s="36">
        <v>0</v>
      </c>
      <c r="AZ107" s="36">
        <v>0</v>
      </c>
    </row>
    <row r="108" s="24" customFormat="1" ht="21" customHeight="1" spans="1:52">
      <c r="A108" s="42"/>
      <c r="B108" s="43"/>
      <c r="C108" s="42"/>
      <c r="D108" s="37" t="s">
        <v>37</v>
      </c>
      <c r="E108" s="38">
        <v>5</v>
      </c>
      <c r="F108" s="38"/>
      <c r="G108" s="38">
        <v>2</v>
      </c>
      <c r="H108" s="38">
        <v>1.5</v>
      </c>
      <c r="I108" s="38"/>
      <c r="J108" s="39"/>
      <c r="K108" s="39">
        <v>7.5</v>
      </c>
      <c r="L108" s="38">
        <v>2</v>
      </c>
      <c r="M108" s="38">
        <v>2</v>
      </c>
      <c r="N108" s="38">
        <v>2</v>
      </c>
      <c r="O108" s="38">
        <v>2.5</v>
      </c>
      <c r="P108" s="38"/>
      <c r="Q108" s="39">
        <v>7</v>
      </c>
      <c r="R108" s="39">
        <v>6</v>
      </c>
      <c r="S108" s="38">
        <v>2</v>
      </c>
      <c r="T108" s="38">
        <v>2</v>
      </c>
      <c r="U108" s="38">
        <v>2</v>
      </c>
      <c r="V108" s="38">
        <v>1.5</v>
      </c>
      <c r="W108" s="40">
        <v>10</v>
      </c>
      <c r="X108" s="39">
        <v>15.5</v>
      </c>
      <c r="Y108" s="39">
        <v>6.5</v>
      </c>
      <c r="Z108" s="38">
        <v>3.5</v>
      </c>
      <c r="AA108" s="38">
        <v>5</v>
      </c>
      <c r="AB108" s="38">
        <v>2</v>
      </c>
      <c r="AC108" s="38"/>
      <c r="AD108" s="38"/>
      <c r="AE108" s="39"/>
      <c r="AF108" s="39"/>
      <c r="AG108" s="38"/>
      <c r="AH108" s="38">
        <v>1</v>
      </c>
      <c r="AI108" s="37">
        <v>7</v>
      </c>
      <c r="AJ108" s="43"/>
      <c r="AK108" s="43"/>
      <c r="AL108" s="43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</row>
    <row r="109" s="24" customFormat="1" ht="21" customHeight="1" spans="1:52">
      <c r="A109" s="36">
        <v>53</v>
      </c>
      <c r="B109" s="35" t="s">
        <v>40</v>
      </c>
      <c r="C109" s="36" t="s">
        <v>119</v>
      </c>
      <c r="D109" s="37" t="s">
        <v>34</v>
      </c>
      <c r="E109" s="44" t="s">
        <v>35</v>
      </c>
      <c r="F109" s="44" t="s">
        <v>73</v>
      </c>
      <c r="G109" s="44" t="s">
        <v>35</v>
      </c>
      <c r="H109" s="44" t="s">
        <v>35</v>
      </c>
      <c r="I109" s="44" t="s">
        <v>35</v>
      </c>
      <c r="J109" s="39" t="s">
        <v>36</v>
      </c>
      <c r="K109" s="39" t="s">
        <v>36</v>
      </c>
      <c r="L109" s="44" t="s">
        <v>35</v>
      </c>
      <c r="M109" s="44" t="s">
        <v>35</v>
      </c>
      <c r="N109" s="44" t="s">
        <v>35</v>
      </c>
      <c r="O109" s="44" t="s">
        <v>35</v>
      </c>
      <c r="P109" s="44" t="s">
        <v>35</v>
      </c>
      <c r="Q109" s="39" t="s">
        <v>36</v>
      </c>
      <c r="R109" s="39" t="s">
        <v>36</v>
      </c>
      <c r="S109" s="44" t="s">
        <v>35</v>
      </c>
      <c r="T109" s="44" t="s">
        <v>107</v>
      </c>
      <c r="U109" s="44" t="s">
        <v>35</v>
      </c>
      <c r="V109" s="44" t="s">
        <v>35</v>
      </c>
      <c r="W109" s="40" t="s">
        <v>36</v>
      </c>
      <c r="X109" s="39" t="s">
        <v>36</v>
      </c>
      <c r="Y109" s="39" t="s">
        <v>36</v>
      </c>
      <c r="Z109" s="44" t="s">
        <v>35</v>
      </c>
      <c r="AA109" s="44" t="s">
        <v>35</v>
      </c>
      <c r="AB109" s="44" t="s">
        <v>35</v>
      </c>
      <c r="AC109" s="44" t="s">
        <v>35</v>
      </c>
      <c r="AD109" s="44" t="s">
        <v>35</v>
      </c>
      <c r="AE109" s="39" t="s">
        <v>36</v>
      </c>
      <c r="AF109" s="39" t="s">
        <v>36</v>
      </c>
      <c r="AG109" s="44" t="s">
        <v>35</v>
      </c>
      <c r="AH109" s="44" t="s">
        <v>35</v>
      </c>
      <c r="AI109" s="37">
        <v>20</v>
      </c>
      <c r="AJ109" s="35">
        <f t="shared" si="101"/>
        <v>23</v>
      </c>
      <c r="AK109" s="35">
        <v>0</v>
      </c>
      <c r="AL109" s="35">
        <f t="shared" si="102"/>
        <v>5</v>
      </c>
      <c r="AM109" s="36">
        <f t="shared" si="103"/>
        <v>0</v>
      </c>
      <c r="AN109" s="36">
        <f t="shared" si="104"/>
        <v>0</v>
      </c>
      <c r="AO109" s="36">
        <f t="shared" si="105"/>
        <v>168</v>
      </c>
      <c r="AP109" s="36">
        <f t="shared" si="106"/>
        <v>165</v>
      </c>
      <c r="AQ109" s="36">
        <v>8</v>
      </c>
      <c r="AR109" s="36">
        <f>30-AQ109</f>
        <v>22</v>
      </c>
      <c r="AS109" s="36">
        <v>0</v>
      </c>
      <c r="AT109" s="36">
        <v>0</v>
      </c>
      <c r="AU109" s="36">
        <v>0</v>
      </c>
      <c r="AV109" s="36">
        <v>0</v>
      </c>
      <c r="AW109" s="36">
        <v>0</v>
      </c>
      <c r="AX109" s="36">
        <v>0</v>
      </c>
      <c r="AY109" s="36">
        <v>0</v>
      </c>
      <c r="AZ109" s="36">
        <v>0</v>
      </c>
    </row>
    <row r="110" s="24" customFormat="1" ht="21" customHeight="1" spans="1:52">
      <c r="A110" s="42"/>
      <c r="B110" s="43"/>
      <c r="C110" s="42"/>
      <c r="D110" s="37" t="s">
        <v>37</v>
      </c>
      <c r="E110" s="38">
        <v>1.5</v>
      </c>
      <c r="F110" s="38"/>
      <c r="G110" s="38"/>
      <c r="H110" s="38"/>
      <c r="I110" s="38"/>
      <c r="J110" s="39"/>
      <c r="K110" s="39"/>
      <c r="L110" s="38"/>
      <c r="M110" s="38"/>
      <c r="N110" s="38"/>
      <c r="O110" s="38"/>
      <c r="P110" s="38"/>
      <c r="Q110" s="39"/>
      <c r="R110" s="39"/>
      <c r="S110" s="38"/>
      <c r="T110" s="38"/>
      <c r="U110" s="38"/>
      <c r="V110" s="38"/>
      <c r="W110" s="40"/>
      <c r="X110" s="39"/>
      <c r="Y110" s="39"/>
      <c r="Z110" s="38"/>
      <c r="AA110" s="38"/>
      <c r="AB110" s="38"/>
      <c r="AC110" s="38">
        <v>1.5</v>
      </c>
      <c r="AD110" s="38"/>
      <c r="AE110" s="39"/>
      <c r="AF110" s="39"/>
      <c r="AG110" s="38">
        <v>2</v>
      </c>
      <c r="AH110" s="38"/>
      <c r="AI110" s="37">
        <v>3</v>
      </c>
      <c r="AJ110" s="43"/>
      <c r="AK110" s="43"/>
      <c r="AL110" s="43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</row>
    <row r="111" s="24" customFormat="1" ht="21.75" customHeight="1" spans="1:52">
      <c r="A111" s="36">
        <v>54</v>
      </c>
      <c r="B111" s="35" t="s">
        <v>40</v>
      </c>
      <c r="C111" s="36" t="s">
        <v>120</v>
      </c>
      <c r="D111" s="37" t="s">
        <v>34</v>
      </c>
      <c r="E111" s="44" t="s">
        <v>35</v>
      </c>
      <c r="F111" s="44" t="s">
        <v>39</v>
      </c>
      <c r="G111" s="44" t="s">
        <v>39</v>
      </c>
      <c r="H111" s="44" t="s">
        <v>39</v>
      </c>
      <c r="I111" s="44" t="s">
        <v>39</v>
      </c>
      <c r="J111" s="39" t="s">
        <v>36</v>
      </c>
      <c r="K111" s="39" t="s">
        <v>36</v>
      </c>
      <c r="L111" s="44" t="s">
        <v>35</v>
      </c>
      <c r="M111" s="44" t="s">
        <v>35</v>
      </c>
      <c r="N111" s="44" t="s">
        <v>39</v>
      </c>
      <c r="O111" s="44" t="s">
        <v>39</v>
      </c>
      <c r="P111" s="44" t="s">
        <v>39</v>
      </c>
      <c r="Q111" s="39" t="s">
        <v>36</v>
      </c>
      <c r="R111" s="39" t="s">
        <v>36</v>
      </c>
      <c r="S111" s="44" t="s">
        <v>39</v>
      </c>
      <c r="T111" s="44" t="s">
        <v>39</v>
      </c>
      <c r="U111" s="44" t="s">
        <v>39</v>
      </c>
      <c r="V111" s="44" t="s">
        <v>39</v>
      </c>
      <c r="W111" s="40" t="s">
        <v>36</v>
      </c>
      <c r="X111" s="39" t="s">
        <v>36</v>
      </c>
      <c r="Y111" s="39" t="s">
        <v>36</v>
      </c>
      <c r="Z111" s="44" t="s">
        <v>35</v>
      </c>
      <c r="AA111" s="44" t="s">
        <v>35</v>
      </c>
      <c r="AB111" s="44" t="s">
        <v>35</v>
      </c>
      <c r="AC111" s="44" t="s">
        <v>35</v>
      </c>
      <c r="AD111" s="44" t="s">
        <v>35</v>
      </c>
      <c r="AE111" s="39" t="s">
        <v>36</v>
      </c>
      <c r="AF111" s="39" t="s">
        <v>36</v>
      </c>
      <c r="AG111" s="44" t="s">
        <v>39</v>
      </c>
      <c r="AH111" s="44" t="s">
        <v>39</v>
      </c>
      <c r="AI111" s="37">
        <v>8</v>
      </c>
      <c r="AJ111" s="35">
        <f t="shared" si="101"/>
        <v>8</v>
      </c>
      <c r="AK111" s="35">
        <v>13</v>
      </c>
      <c r="AL111" s="35">
        <f t="shared" si="102"/>
        <v>0</v>
      </c>
      <c r="AM111" s="36">
        <f t="shared" si="103"/>
        <v>0</v>
      </c>
      <c r="AN111" s="36">
        <f t="shared" si="104"/>
        <v>0</v>
      </c>
      <c r="AO111" s="36">
        <f t="shared" si="105"/>
        <v>168</v>
      </c>
      <c r="AP111" s="36">
        <f t="shared" si="106"/>
        <v>168</v>
      </c>
      <c r="AQ111" s="36">
        <v>0</v>
      </c>
      <c r="AR111" s="36">
        <v>40</v>
      </c>
      <c r="AS111" s="36">
        <v>0</v>
      </c>
      <c r="AT111" s="36">
        <v>0</v>
      </c>
      <c r="AU111" s="36">
        <v>0</v>
      </c>
      <c r="AV111" s="36">
        <v>0</v>
      </c>
      <c r="AW111" s="36">
        <v>0</v>
      </c>
      <c r="AX111" s="36">
        <v>0</v>
      </c>
      <c r="AY111" s="36">
        <v>0</v>
      </c>
      <c r="AZ111" s="36">
        <v>0</v>
      </c>
    </row>
    <row r="112" s="24" customFormat="1" ht="21" customHeight="1" spans="1:52">
      <c r="A112" s="42"/>
      <c r="B112" s="43"/>
      <c r="C112" s="42"/>
      <c r="D112" s="37" t="s">
        <v>37</v>
      </c>
      <c r="E112" s="38"/>
      <c r="F112" s="38"/>
      <c r="G112" s="38"/>
      <c r="H112" s="38"/>
      <c r="I112" s="38"/>
      <c r="J112" s="39"/>
      <c r="K112" s="39"/>
      <c r="L112" s="38"/>
      <c r="M112" s="38"/>
      <c r="N112" s="38"/>
      <c r="O112" s="38"/>
      <c r="P112" s="38"/>
      <c r="Q112" s="39"/>
      <c r="R112" s="39"/>
      <c r="S112" s="38"/>
      <c r="T112" s="38"/>
      <c r="U112" s="38"/>
      <c r="V112" s="38"/>
      <c r="W112" s="40"/>
      <c r="X112" s="39"/>
      <c r="Y112" s="39"/>
      <c r="Z112" s="38"/>
      <c r="AA112" s="38"/>
      <c r="AB112" s="38"/>
      <c r="AC112" s="38"/>
      <c r="AD112" s="38"/>
      <c r="AE112" s="39"/>
      <c r="AF112" s="39"/>
      <c r="AG112" s="38"/>
      <c r="AH112" s="38"/>
      <c r="AI112" s="37">
        <v>0</v>
      </c>
      <c r="AJ112" s="43"/>
      <c r="AK112" s="43"/>
      <c r="AL112" s="43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</row>
    <row r="113" s="24" customFormat="1" ht="24" customHeight="1" spans="1:52">
      <c r="A113" s="36">
        <v>55</v>
      </c>
      <c r="B113" s="35" t="s">
        <v>40</v>
      </c>
      <c r="C113" s="36" t="s">
        <v>121</v>
      </c>
      <c r="D113" s="37" t="s">
        <v>34</v>
      </c>
      <c r="E113" s="44" t="s">
        <v>39</v>
      </c>
      <c r="F113" s="44" t="s">
        <v>39</v>
      </c>
      <c r="G113" s="44" t="s">
        <v>39</v>
      </c>
      <c r="H113" s="44" t="s">
        <v>39</v>
      </c>
      <c r="I113" s="44" t="s">
        <v>39</v>
      </c>
      <c r="J113" s="39" t="s">
        <v>39</v>
      </c>
      <c r="K113" s="39" t="s">
        <v>39</v>
      </c>
      <c r="L113" s="44" t="s">
        <v>39</v>
      </c>
      <c r="M113" s="44" t="s">
        <v>39</v>
      </c>
      <c r="N113" s="44" t="s">
        <v>39</v>
      </c>
      <c r="O113" s="44" t="s">
        <v>39</v>
      </c>
      <c r="P113" s="44" t="s">
        <v>39</v>
      </c>
      <c r="Q113" s="39" t="s">
        <v>39</v>
      </c>
      <c r="R113" s="39" t="s">
        <v>39</v>
      </c>
      <c r="S113" s="44" t="s">
        <v>39</v>
      </c>
      <c r="T113" s="44" t="s">
        <v>39</v>
      </c>
      <c r="U113" s="44" t="s">
        <v>39</v>
      </c>
      <c r="V113" s="44" t="s">
        <v>39</v>
      </c>
      <c r="W113" s="40" t="s">
        <v>36</v>
      </c>
      <c r="X113" s="39" t="s">
        <v>36</v>
      </c>
      <c r="Y113" s="39" t="s">
        <v>36</v>
      </c>
      <c r="Z113" s="44" t="s">
        <v>35</v>
      </c>
      <c r="AA113" s="44" t="s">
        <v>35</v>
      </c>
      <c r="AB113" s="44" t="s">
        <v>35</v>
      </c>
      <c r="AC113" s="44" t="s">
        <v>39</v>
      </c>
      <c r="AD113" s="44" t="s">
        <v>39</v>
      </c>
      <c r="AE113" s="39" t="s">
        <v>39</v>
      </c>
      <c r="AF113" s="39" t="s">
        <v>39</v>
      </c>
      <c r="AG113" s="38" t="s">
        <v>39</v>
      </c>
      <c r="AH113" s="38" t="s">
        <v>39</v>
      </c>
      <c r="AI113" s="37">
        <v>3</v>
      </c>
      <c r="AJ113" s="35">
        <f t="shared" ref="AJ113:AJ117" si="107">AI113+AI114</f>
        <v>4</v>
      </c>
      <c r="AK113" s="35">
        <v>24</v>
      </c>
      <c r="AL113" s="35">
        <f t="shared" ref="AL113:AL117" si="108">E114+F114+G114+H114+I114+L114+M114+N114+O114+P114+S114+T114+U114+V114+Z114+AA114+AB114+AC114+AD114+AG114+AH114</f>
        <v>38.5</v>
      </c>
      <c r="AM113" s="36">
        <f t="shared" ref="AM113:AM117" si="109">J114+K114+Q114+R114+X114+Y114+AE114+AF114</f>
        <v>45.5</v>
      </c>
      <c r="AN113" s="36">
        <f t="shared" ref="AN113:AN117" si="110">W114</f>
        <v>0</v>
      </c>
      <c r="AO113" s="36">
        <f t="shared" ref="AO113:AO117" si="111">21*8</f>
        <v>168</v>
      </c>
      <c r="AP113" s="36">
        <f t="shared" ref="AP113:AP117" si="112">AL113+AM113+AN113+AO113-AQ113-AS113-AT113-AV113-AW113-AX113-AY113-AZ113-AU113</f>
        <v>252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</row>
    <row r="114" s="24" customFormat="1" ht="21" customHeight="1" spans="1:52">
      <c r="A114" s="42"/>
      <c r="B114" s="43"/>
      <c r="C114" s="42"/>
      <c r="D114" s="37" t="s">
        <v>37</v>
      </c>
      <c r="E114" s="38">
        <v>3</v>
      </c>
      <c r="F114" s="38">
        <v>4.5</v>
      </c>
      <c r="G114" s="38">
        <v>1</v>
      </c>
      <c r="H114" s="38">
        <v>1.5</v>
      </c>
      <c r="I114" s="38">
        <v>1.5</v>
      </c>
      <c r="J114" s="39">
        <v>11.5</v>
      </c>
      <c r="K114" s="39">
        <v>8.5</v>
      </c>
      <c r="L114" s="38">
        <v>5.5</v>
      </c>
      <c r="M114" s="38">
        <v>2.5</v>
      </c>
      <c r="N114" s="38"/>
      <c r="O114" s="38">
        <v>3</v>
      </c>
      <c r="P114" s="38">
        <v>2</v>
      </c>
      <c r="Q114" s="39">
        <v>9.5</v>
      </c>
      <c r="R114" s="39">
        <v>7.5</v>
      </c>
      <c r="S114" s="38"/>
      <c r="T114" s="38"/>
      <c r="U114" s="38">
        <v>3.5</v>
      </c>
      <c r="V114" s="38"/>
      <c r="W114" s="40"/>
      <c r="X114" s="39"/>
      <c r="Y114" s="39"/>
      <c r="Z114" s="38"/>
      <c r="AA114" s="38">
        <v>1.5</v>
      </c>
      <c r="AB114" s="38">
        <v>1.5</v>
      </c>
      <c r="AC114" s="38">
        <v>2</v>
      </c>
      <c r="AD114" s="38">
        <v>2.5</v>
      </c>
      <c r="AE114" s="39">
        <v>8.5</v>
      </c>
      <c r="AF114" s="39"/>
      <c r="AG114" s="38">
        <v>1.5</v>
      </c>
      <c r="AH114" s="38">
        <v>1.5</v>
      </c>
      <c r="AI114" s="37">
        <v>1</v>
      </c>
      <c r="AJ114" s="43"/>
      <c r="AK114" s="43"/>
      <c r="AL114" s="43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</row>
    <row r="115" s="24" customFormat="1" ht="21" customHeight="1" spans="1:52">
      <c r="A115" s="36">
        <v>56</v>
      </c>
      <c r="B115" s="35" t="s">
        <v>32</v>
      </c>
      <c r="C115" s="36" t="s">
        <v>122</v>
      </c>
      <c r="D115" s="37" t="s">
        <v>34</v>
      </c>
      <c r="E115" s="44" t="s">
        <v>39</v>
      </c>
      <c r="F115" s="44" t="s">
        <v>39</v>
      </c>
      <c r="G115" s="44" t="s">
        <v>39</v>
      </c>
      <c r="H115" s="44" t="s">
        <v>39</v>
      </c>
      <c r="I115" s="44" t="s">
        <v>39</v>
      </c>
      <c r="J115" s="39" t="s">
        <v>39</v>
      </c>
      <c r="K115" s="39"/>
      <c r="L115" s="44" t="s">
        <v>35</v>
      </c>
      <c r="M115" s="44" t="s">
        <v>35</v>
      </c>
      <c r="N115" s="44" t="s">
        <v>35</v>
      </c>
      <c r="O115" s="44" t="s">
        <v>35</v>
      </c>
      <c r="P115" s="44" t="s">
        <v>35</v>
      </c>
      <c r="Q115" s="39"/>
      <c r="R115" s="39"/>
      <c r="S115" s="44" t="s">
        <v>35</v>
      </c>
      <c r="T115" s="44" t="s">
        <v>35</v>
      </c>
      <c r="U115" s="44" t="s">
        <v>35</v>
      </c>
      <c r="V115" s="44" t="s">
        <v>35</v>
      </c>
      <c r="W115" s="40"/>
      <c r="X115" s="39"/>
      <c r="Y115" s="39"/>
      <c r="Z115" s="44" t="s">
        <v>35</v>
      </c>
      <c r="AA115" s="44" t="s">
        <v>35</v>
      </c>
      <c r="AB115" s="44" t="s">
        <v>35</v>
      </c>
      <c r="AC115" s="44" t="s">
        <v>35</v>
      </c>
      <c r="AD115" s="44" t="s">
        <v>35</v>
      </c>
      <c r="AE115" s="39"/>
      <c r="AF115" s="39"/>
      <c r="AG115" s="44" t="s">
        <v>35</v>
      </c>
      <c r="AH115" s="44" t="s">
        <v>35</v>
      </c>
      <c r="AI115" s="37">
        <v>16</v>
      </c>
      <c r="AJ115" s="35">
        <f t="shared" si="107"/>
        <v>45</v>
      </c>
      <c r="AK115" s="35">
        <v>6</v>
      </c>
      <c r="AL115" s="35">
        <f t="shared" si="108"/>
        <v>57</v>
      </c>
      <c r="AM115" s="36">
        <f t="shared" si="109"/>
        <v>82</v>
      </c>
      <c r="AN115" s="36">
        <f t="shared" si="110"/>
        <v>8</v>
      </c>
      <c r="AO115" s="36">
        <f t="shared" si="111"/>
        <v>168</v>
      </c>
      <c r="AP115" s="36">
        <f t="shared" si="112"/>
        <v>315</v>
      </c>
      <c r="AQ115" s="36">
        <v>0</v>
      </c>
      <c r="AR115" s="36">
        <v>60.5</v>
      </c>
      <c r="AS115" s="36">
        <v>0</v>
      </c>
      <c r="AT115" s="36">
        <v>0</v>
      </c>
      <c r="AU115" s="36">
        <v>0</v>
      </c>
      <c r="AV115" s="36">
        <v>0</v>
      </c>
      <c r="AW115" s="36">
        <v>0</v>
      </c>
      <c r="AX115" s="36">
        <v>0</v>
      </c>
      <c r="AY115" s="36">
        <v>0</v>
      </c>
      <c r="AZ115" s="36">
        <v>0</v>
      </c>
    </row>
    <row r="116" s="24" customFormat="1" ht="21" customHeight="1" spans="1:52">
      <c r="A116" s="42"/>
      <c r="B116" s="43"/>
      <c r="C116" s="42"/>
      <c r="D116" s="37" t="s">
        <v>37</v>
      </c>
      <c r="E116" s="38">
        <v>1.5</v>
      </c>
      <c r="F116" s="38">
        <v>1.5</v>
      </c>
      <c r="G116" s="38">
        <v>1.5</v>
      </c>
      <c r="H116" s="38">
        <v>1.5</v>
      </c>
      <c r="I116" s="38"/>
      <c r="J116" s="39">
        <v>8</v>
      </c>
      <c r="K116" s="39">
        <v>12</v>
      </c>
      <c r="L116" s="38">
        <v>5.5</v>
      </c>
      <c r="M116" s="38">
        <v>3</v>
      </c>
      <c r="N116" s="38">
        <v>4.5</v>
      </c>
      <c r="O116" s="38">
        <v>3.5</v>
      </c>
      <c r="P116" s="38">
        <v>3</v>
      </c>
      <c r="Q116" s="39">
        <v>11</v>
      </c>
      <c r="R116" s="39">
        <v>11</v>
      </c>
      <c r="S116" s="38">
        <v>3.5</v>
      </c>
      <c r="T116" s="38">
        <v>3</v>
      </c>
      <c r="U116" s="38">
        <v>3</v>
      </c>
      <c r="V116" s="38">
        <v>3</v>
      </c>
      <c r="W116" s="40">
        <v>8</v>
      </c>
      <c r="X116" s="39">
        <v>11.5</v>
      </c>
      <c r="Y116" s="39">
        <v>9.5</v>
      </c>
      <c r="Z116" s="38">
        <v>3.5</v>
      </c>
      <c r="AA116" s="38">
        <v>3</v>
      </c>
      <c r="AB116" s="38"/>
      <c r="AC116" s="38">
        <v>3.5</v>
      </c>
      <c r="AD116" s="38">
        <v>3</v>
      </c>
      <c r="AE116" s="39">
        <v>11</v>
      </c>
      <c r="AF116" s="39">
        <v>8</v>
      </c>
      <c r="AG116" s="38">
        <v>3</v>
      </c>
      <c r="AH116" s="38">
        <v>3</v>
      </c>
      <c r="AI116" s="37">
        <v>29</v>
      </c>
      <c r="AJ116" s="43"/>
      <c r="AK116" s="43"/>
      <c r="AL116" s="43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</row>
    <row r="117" s="24" customFormat="1" ht="21" customHeight="1" spans="1:52">
      <c r="A117" s="36">
        <v>57</v>
      </c>
      <c r="B117" s="35" t="s">
        <v>40</v>
      </c>
      <c r="C117" s="36" t="s">
        <v>123</v>
      </c>
      <c r="D117" s="37" t="s">
        <v>34</v>
      </c>
      <c r="E117" s="44" t="s">
        <v>35</v>
      </c>
      <c r="F117" s="44" t="s">
        <v>35</v>
      </c>
      <c r="G117" s="44" t="s">
        <v>35</v>
      </c>
      <c r="H117" s="44" t="s">
        <v>35</v>
      </c>
      <c r="I117" s="44" t="s">
        <v>35</v>
      </c>
      <c r="J117" s="39" t="s">
        <v>36</v>
      </c>
      <c r="K117" s="39" t="s">
        <v>36</v>
      </c>
      <c r="L117" s="44" t="s">
        <v>35</v>
      </c>
      <c r="M117" s="44" t="s">
        <v>35</v>
      </c>
      <c r="N117" s="44" t="s">
        <v>35</v>
      </c>
      <c r="O117" s="44" t="s">
        <v>35</v>
      </c>
      <c r="P117" s="44" t="s">
        <v>35</v>
      </c>
      <c r="Q117" s="39"/>
      <c r="R117" s="39" t="s">
        <v>36</v>
      </c>
      <c r="S117" s="44" t="s">
        <v>39</v>
      </c>
      <c r="T117" s="44" t="s">
        <v>39</v>
      </c>
      <c r="U117" s="44" t="s">
        <v>39</v>
      </c>
      <c r="V117" s="44" t="s">
        <v>39</v>
      </c>
      <c r="W117" s="40" t="s">
        <v>36</v>
      </c>
      <c r="X117" s="39" t="s">
        <v>36</v>
      </c>
      <c r="Y117" s="39" t="s">
        <v>36</v>
      </c>
      <c r="Z117" s="44" t="s">
        <v>35</v>
      </c>
      <c r="AA117" s="44" t="s">
        <v>35</v>
      </c>
      <c r="AB117" s="44" t="s">
        <v>39</v>
      </c>
      <c r="AC117" s="44" t="s">
        <v>39</v>
      </c>
      <c r="AD117" s="44" t="s">
        <v>39</v>
      </c>
      <c r="AE117" s="39" t="s">
        <v>39</v>
      </c>
      <c r="AF117" s="39" t="s">
        <v>36</v>
      </c>
      <c r="AG117" s="44" t="s">
        <v>35</v>
      </c>
      <c r="AH117" s="44" t="s">
        <v>35</v>
      </c>
      <c r="AI117" s="37">
        <v>14</v>
      </c>
      <c r="AJ117" s="35">
        <f t="shared" si="107"/>
        <v>20</v>
      </c>
      <c r="AK117" s="35">
        <v>8</v>
      </c>
      <c r="AL117" s="35">
        <f t="shared" si="108"/>
        <v>27</v>
      </c>
      <c r="AM117" s="36">
        <f t="shared" si="109"/>
        <v>16</v>
      </c>
      <c r="AN117" s="36">
        <f t="shared" si="110"/>
        <v>0</v>
      </c>
      <c r="AO117" s="36">
        <f t="shared" si="111"/>
        <v>168</v>
      </c>
      <c r="AP117" s="36">
        <f t="shared" si="112"/>
        <v>211</v>
      </c>
      <c r="AQ117" s="36">
        <v>0</v>
      </c>
      <c r="AR117" s="36">
        <v>36.5</v>
      </c>
      <c r="AS117" s="36">
        <v>0</v>
      </c>
      <c r="AT117" s="36">
        <v>0</v>
      </c>
      <c r="AU117" s="36">
        <v>0</v>
      </c>
      <c r="AV117" s="36">
        <v>0</v>
      </c>
      <c r="AW117" s="36">
        <v>0</v>
      </c>
      <c r="AX117" s="36">
        <v>0</v>
      </c>
      <c r="AY117" s="36">
        <v>0</v>
      </c>
      <c r="AZ117" s="36">
        <v>0</v>
      </c>
    </row>
    <row r="118" s="24" customFormat="1" ht="21" customHeight="1" spans="1:52">
      <c r="A118" s="42"/>
      <c r="B118" s="43"/>
      <c r="C118" s="42"/>
      <c r="D118" s="37" t="s">
        <v>37</v>
      </c>
      <c r="E118" s="38">
        <v>3</v>
      </c>
      <c r="F118" s="38">
        <v>1.5</v>
      </c>
      <c r="G118" s="38">
        <v>1.5</v>
      </c>
      <c r="H118" s="38">
        <v>1.5</v>
      </c>
      <c r="I118" s="38"/>
      <c r="J118" s="39"/>
      <c r="K118" s="39"/>
      <c r="L118" s="38">
        <v>1</v>
      </c>
      <c r="M118" s="38">
        <v>2</v>
      </c>
      <c r="N118" s="38">
        <v>2</v>
      </c>
      <c r="O118" s="38">
        <v>1.5</v>
      </c>
      <c r="P118" s="38">
        <v>1</v>
      </c>
      <c r="Q118" s="39">
        <v>8</v>
      </c>
      <c r="R118" s="39"/>
      <c r="S118" s="38">
        <v>4</v>
      </c>
      <c r="T118" s="38">
        <v>5.5</v>
      </c>
      <c r="U118" s="38">
        <v>1.5</v>
      </c>
      <c r="V118" s="38"/>
      <c r="W118" s="40"/>
      <c r="X118" s="39"/>
      <c r="Y118" s="39"/>
      <c r="Z118" s="38"/>
      <c r="AA118" s="38"/>
      <c r="AB118" s="38"/>
      <c r="AC118" s="38">
        <v>1</v>
      </c>
      <c r="AD118" s="38"/>
      <c r="AE118" s="39">
        <v>8</v>
      </c>
      <c r="AF118" s="39"/>
      <c r="AG118" s="38"/>
      <c r="AH118" s="38"/>
      <c r="AI118" s="37">
        <v>6</v>
      </c>
      <c r="AJ118" s="43"/>
      <c r="AK118" s="43"/>
      <c r="AL118" s="43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</row>
    <row r="119" s="24" customFormat="1" ht="21" customHeight="1" spans="1:52">
      <c r="A119" s="36">
        <v>58</v>
      </c>
      <c r="B119" s="35" t="s">
        <v>40</v>
      </c>
      <c r="C119" s="36" t="s">
        <v>124</v>
      </c>
      <c r="D119" s="37" t="s">
        <v>34</v>
      </c>
      <c r="E119" s="44" t="s">
        <v>35</v>
      </c>
      <c r="F119" s="44" t="s">
        <v>35</v>
      </c>
      <c r="G119" s="44" t="s">
        <v>35</v>
      </c>
      <c r="H119" s="44" t="s">
        <v>35</v>
      </c>
      <c r="I119" s="44" t="s">
        <v>35</v>
      </c>
      <c r="J119" s="39" t="s">
        <v>36</v>
      </c>
      <c r="K119" s="39"/>
      <c r="L119" s="44" t="s">
        <v>35</v>
      </c>
      <c r="M119" s="44" t="s">
        <v>73</v>
      </c>
      <c r="N119" s="44" t="s">
        <v>35</v>
      </c>
      <c r="O119" s="44" t="s">
        <v>35</v>
      </c>
      <c r="P119" s="44" t="s">
        <v>35</v>
      </c>
      <c r="Q119" s="39" t="s">
        <v>36</v>
      </c>
      <c r="R119" s="39"/>
      <c r="S119" s="44" t="s">
        <v>35</v>
      </c>
      <c r="T119" s="44" t="s">
        <v>35</v>
      </c>
      <c r="U119" s="44" t="s">
        <v>35</v>
      </c>
      <c r="V119" s="44" t="s">
        <v>35</v>
      </c>
      <c r="W119" s="40" t="s">
        <v>36</v>
      </c>
      <c r="X119" s="39" t="s">
        <v>36</v>
      </c>
      <c r="Y119" s="39" t="s">
        <v>36</v>
      </c>
      <c r="Z119" s="44" t="s">
        <v>35</v>
      </c>
      <c r="AA119" s="44" t="s">
        <v>35</v>
      </c>
      <c r="AB119" s="44" t="s">
        <v>35</v>
      </c>
      <c r="AC119" s="44" t="s">
        <v>35</v>
      </c>
      <c r="AD119" s="44" t="s">
        <v>35</v>
      </c>
      <c r="AE119" s="39"/>
      <c r="AF119" s="39"/>
      <c r="AG119" s="44" t="s">
        <v>35</v>
      </c>
      <c r="AH119" s="44" t="s">
        <v>35</v>
      </c>
      <c r="AI119" s="37">
        <v>20</v>
      </c>
      <c r="AJ119" s="35">
        <f t="shared" ref="AJ119:AJ123" si="113">AI119+AI120</f>
        <v>42</v>
      </c>
      <c r="AK119" s="35">
        <v>0</v>
      </c>
      <c r="AL119" s="35">
        <f t="shared" ref="AL119:AL123" si="114">E120+F120+G120+H120+I120+L120+M120+N120+O120+P120+S120+T120+U120+V120+Z120+AA120+AB120+AC120+AD120+AG120+AH120</f>
        <v>45.5</v>
      </c>
      <c r="AM119" s="36">
        <f t="shared" ref="AM119:AM123" si="115">J120+K120+Q120+R120+X120+Y120+AE120+AF120</f>
        <v>30.5</v>
      </c>
      <c r="AN119" s="36">
        <f t="shared" ref="AN119:AN123" si="116">W120</f>
        <v>0</v>
      </c>
      <c r="AO119" s="36">
        <f t="shared" ref="AO119:AO123" si="117">21*8</f>
        <v>168</v>
      </c>
      <c r="AP119" s="36">
        <f t="shared" ref="AP119:AP123" si="118">AL119+AM119+AN119+AO119-AQ119-AS119-AT119-AV119-AW119-AX119-AY119-AZ119-AU119</f>
        <v>240.5</v>
      </c>
      <c r="AQ119" s="36">
        <v>3.5</v>
      </c>
      <c r="AR119" s="36">
        <f>52.5-AQ119</f>
        <v>49</v>
      </c>
      <c r="AS119" s="36">
        <v>0</v>
      </c>
      <c r="AT119" s="36">
        <v>0</v>
      </c>
      <c r="AU119" s="36">
        <v>0</v>
      </c>
      <c r="AV119" s="36">
        <v>0</v>
      </c>
      <c r="AW119" s="36">
        <v>0</v>
      </c>
      <c r="AX119" s="36">
        <v>0</v>
      </c>
      <c r="AY119" s="36">
        <v>0</v>
      </c>
      <c r="AZ119" s="36">
        <v>0</v>
      </c>
    </row>
    <row r="120" s="24" customFormat="1" ht="21" customHeight="1" spans="1:52">
      <c r="A120" s="42"/>
      <c r="B120" s="43"/>
      <c r="C120" s="42"/>
      <c r="D120" s="37" t="s">
        <v>37</v>
      </c>
      <c r="E120" s="38">
        <v>2.5</v>
      </c>
      <c r="F120" s="38">
        <v>3</v>
      </c>
      <c r="G120" s="38">
        <v>2</v>
      </c>
      <c r="H120" s="38">
        <v>1</v>
      </c>
      <c r="I120" s="38"/>
      <c r="J120" s="39"/>
      <c r="K120" s="39">
        <v>10</v>
      </c>
      <c r="L120" s="38">
        <v>2.5</v>
      </c>
      <c r="M120" s="38">
        <v>1.5</v>
      </c>
      <c r="N120" s="38">
        <v>2</v>
      </c>
      <c r="O120" s="38">
        <v>2.5</v>
      </c>
      <c r="P120" s="38"/>
      <c r="Q120" s="39"/>
      <c r="R120" s="39">
        <v>7</v>
      </c>
      <c r="S120" s="38">
        <v>3</v>
      </c>
      <c r="T120" s="38">
        <v>3</v>
      </c>
      <c r="U120" s="38">
        <v>1.5</v>
      </c>
      <c r="V120" s="38">
        <v>1.5</v>
      </c>
      <c r="W120" s="40"/>
      <c r="X120" s="39"/>
      <c r="Y120" s="39"/>
      <c r="Z120" s="38">
        <v>2.5</v>
      </c>
      <c r="AA120" s="38">
        <v>3</v>
      </c>
      <c r="AB120" s="38">
        <v>3</v>
      </c>
      <c r="AC120" s="38">
        <v>3</v>
      </c>
      <c r="AD120" s="38">
        <v>3</v>
      </c>
      <c r="AE120" s="39">
        <v>7.5</v>
      </c>
      <c r="AF120" s="39">
        <v>6</v>
      </c>
      <c r="AG120" s="38">
        <v>3.5</v>
      </c>
      <c r="AH120" s="38">
        <v>1.5</v>
      </c>
      <c r="AI120" s="37">
        <v>22</v>
      </c>
      <c r="AJ120" s="43"/>
      <c r="AK120" s="43"/>
      <c r="AL120" s="43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</row>
    <row r="121" s="24" customFormat="1" ht="21" customHeight="1" spans="1:52">
      <c r="A121" s="36">
        <v>59</v>
      </c>
      <c r="B121" s="35" t="s">
        <v>32</v>
      </c>
      <c r="C121" s="36" t="s">
        <v>125</v>
      </c>
      <c r="D121" s="37" t="s">
        <v>34</v>
      </c>
      <c r="E121" s="44" t="s">
        <v>126</v>
      </c>
      <c r="F121" s="44" t="s">
        <v>35</v>
      </c>
      <c r="G121" s="44" t="s">
        <v>35</v>
      </c>
      <c r="H121" s="44" t="s">
        <v>35</v>
      </c>
      <c r="I121" s="44" t="s">
        <v>35</v>
      </c>
      <c r="J121" s="39" t="s">
        <v>36</v>
      </c>
      <c r="K121" s="39" t="s">
        <v>36</v>
      </c>
      <c r="L121" s="44" t="s">
        <v>35</v>
      </c>
      <c r="M121" s="44" t="s">
        <v>126</v>
      </c>
      <c r="N121" s="44" t="s">
        <v>35</v>
      </c>
      <c r="O121" s="44" t="s">
        <v>35</v>
      </c>
      <c r="P121" s="44" t="s">
        <v>35</v>
      </c>
      <c r="Q121" s="39" t="s">
        <v>36</v>
      </c>
      <c r="R121" s="39" t="s">
        <v>39</v>
      </c>
      <c r="S121" s="44" t="s">
        <v>39</v>
      </c>
      <c r="T121" s="44" t="s">
        <v>39</v>
      </c>
      <c r="U121" s="44" t="s">
        <v>39</v>
      </c>
      <c r="V121" s="44" t="s">
        <v>39</v>
      </c>
      <c r="W121" s="40" t="s">
        <v>39</v>
      </c>
      <c r="X121" s="39" t="s">
        <v>39</v>
      </c>
      <c r="Y121" s="39" t="s">
        <v>39</v>
      </c>
      <c r="Z121" s="44" t="s">
        <v>39</v>
      </c>
      <c r="AA121" s="44" t="s">
        <v>39</v>
      </c>
      <c r="AB121" s="44" t="s">
        <v>39</v>
      </c>
      <c r="AC121" s="44" t="s">
        <v>39</v>
      </c>
      <c r="AD121" s="44" t="s">
        <v>39</v>
      </c>
      <c r="AE121" s="39" t="s">
        <v>39</v>
      </c>
      <c r="AF121" s="39" t="s">
        <v>39</v>
      </c>
      <c r="AG121" s="44" t="s">
        <v>39</v>
      </c>
      <c r="AH121" s="44" t="s">
        <v>39</v>
      </c>
      <c r="AI121" s="37">
        <v>10</v>
      </c>
      <c r="AJ121" s="35">
        <f t="shared" si="113"/>
        <v>12</v>
      </c>
      <c r="AK121" s="35">
        <v>17</v>
      </c>
      <c r="AL121" s="35">
        <f t="shared" si="114"/>
        <v>56</v>
      </c>
      <c r="AM121" s="36">
        <f t="shared" si="115"/>
        <v>51.5</v>
      </c>
      <c r="AN121" s="36">
        <f t="shared" si="116"/>
        <v>11.5</v>
      </c>
      <c r="AO121" s="36">
        <f t="shared" si="117"/>
        <v>168</v>
      </c>
      <c r="AP121" s="36">
        <f t="shared" si="118"/>
        <v>285</v>
      </c>
      <c r="AQ121" s="36">
        <v>2</v>
      </c>
      <c r="AR121" s="36">
        <f>30.5-AQ121</f>
        <v>28.5</v>
      </c>
      <c r="AS121" s="36">
        <v>0</v>
      </c>
      <c r="AT121" s="36">
        <v>0</v>
      </c>
      <c r="AU121" s="36">
        <v>0</v>
      </c>
      <c r="AV121" s="36">
        <v>0</v>
      </c>
      <c r="AW121" s="36">
        <v>0</v>
      </c>
      <c r="AX121" s="36">
        <v>0</v>
      </c>
      <c r="AY121" s="36">
        <v>0</v>
      </c>
      <c r="AZ121" s="36">
        <v>0</v>
      </c>
    </row>
    <row r="122" s="24" customFormat="1" ht="21" customHeight="1" spans="1:52">
      <c r="A122" s="42"/>
      <c r="B122" s="43"/>
      <c r="C122" s="42"/>
      <c r="D122" s="37" t="s">
        <v>37</v>
      </c>
      <c r="E122" s="38">
        <v>1</v>
      </c>
      <c r="F122" s="38">
        <v>1</v>
      </c>
      <c r="G122" s="38">
        <v>1</v>
      </c>
      <c r="H122" s="38"/>
      <c r="I122" s="38"/>
      <c r="J122" s="39"/>
      <c r="K122" s="39"/>
      <c r="L122" s="38">
        <v>1.5</v>
      </c>
      <c r="M122" s="38">
        <v>1</v>
      </c>
      <c r="N122" s="38">
        <v>4.5</v>
      </c>
      <c r="O122" s="38">
        <v>2.5</v>
      </c>
      <c r="P122" s="38">
        <v>1</v>
      </c>
      <c r="Q122" s="39"/>
      <c r="R122" s="39">
        <v>8</v>
      </c>
      <c r="S122" s="38"/>
      <c r="T122" s="38">
        <v>4.5</v>
      </c>
      <c r="U122" s="38">
        <v>5.5</v>
      </c>
      <c r="V122" s="38">
        <v>4.5</v>
      </c>
      <c r="W122" s="40">
        <v>11.5</v>
      </c>
      <c r="X122" s="39">
        <v>9.5</v>
      </c>
      <c r="Y122" s="39">
        <v>9</v>
      </c>
      <c r="Z122" s="38">
        <v>4</v>
      </c>
      <c r="AA122" s="38">
        <v>4.5</v>
      </c>
      <c r="AB122" s="38">
        <v>5.5</v>
      </c>
      <c r="AC122" s="38">
        <v>4.5</v>
      </c>
      <c r="AD122" s="38">
        <v>5</v>
      </c>
      <c r="AE122" s="39">
        <v>12.5</v>
      </c>
      <c r="AF122" s="39">
        <v>12.5</v>
      </c>
      <c r="AG122" s="38">
        <v>2</v>
      </c>
      <c r="AH122" s="38">
        <v>2.5</v>
      </c>
      <c r="AI122" s="37">
        <v>2</v>
      </c>
      <c r="AJ122" s="43"/>
      <c r="AK122" s="43"/>
      <c r="AL122" s="43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</row>
    <row r="123" s="24" customFormat="1" ht="21" customHeight="1" spans="1:52">
      <c r="A123" s="36">
        <v>60</v>
      </c>
      <c r="B123" s="35" t="s">
        <v>32</v>
      </c>
      <c r="C123" s="36" t="s">
        <v>127</v>
      </c>
      <c r="D123" s="37" t="s">
        <v>34</v>
      </c>
      <c r="E123" s="44" t="s">
        <v>35</v>
      </c>
      <c r="F123" s="44" t="s">
        <v>35</v>
      </c>
      <c r="G123" s="44" t="s">
        <v>35</v>
      </c>
      <c r="H123" s="44" t="s">
        <v>39</v>
      </c>
      <c r="I123" s="44" t="s">
        <v>39</v>
      </c>
      <c r="J123" s="39" t="s">
        <v>39</v>
      </c>
      <c r="K123" s="39" t="s">
        <v>39</v>
      </c>
      <c r="L123" s="44" t="s">
        <v>39</v>
      </c>
      <c r="M123" s="44" t="s">
        <v>39</v>
      </c>
      <c r="N123" s="44" t="s">
        <v>39</v>
      </c>
      <c r="O123" s="44" t="s">
        <v>39</v>
      </c>
      <c r="P123" s="44" t="s">
        <v>39</v>
      </c>
      <c r="Q123" s="39" t="s">
        <v>39</v>
      </c>
      <c r="R123" s="39" t="s">
        <v>39</v>
      </c>
      <c r="S123" s="44" t="s">
        <v>39</v>
      </c>
      <c r="T123" s="44" t="s">
        <v>39</v>
      </c>
      <c r="U123" s="44" t="s">
        <v>39</v>
      </c>
      <c r="V123" s="44" t="s">
        <v>39</v>
      </c>
      <c r="W123" s="40" t="s">
        <v>39</v>
      </c>
      <c r="X123" s="39" t="s">
        <v>39</v>
      </c>
      <c r="Y123" s="39" t="s">
        <v>39</v>
      </c>
      <c r="Z123" s="44" t="s">
        <v>39</v>
      </c>
      <c r="AA123" s="44" t="s">
        <v>39</v>
      </c>
      <c r="AB123" s="44" t="s">
        <v>39</v>
      </c>
      <c r="AC123" s="44" t="s">
        <v>39</v>
      </c>
      <c r="AD123" s="44" t="s">
        <v>39</v>
      </c>
      <c r="AE123" s="39" t="s">
        <v>39</v>
      </c>
      <c r="AF123" s="39" t="s">
        <v>39</v>
      </c>
      <c r="AG123" s="44" t="s">
        <v>39</v>
      </c>
      <c r="AH123" s="44" t="s">
        <v>39</v>
      </c>
      <c r="AI123" s="37">
        <v>3</v>
      </c>
      <c r="AJ123" s="35">
        <f t="shared" si="113"/>
        <v>5</v>
      </c>
      <c r="AK123" s="35">
        <v>27</v>
      </c>
      <c r="AL123" s="35">
        <f t="shared" si="114"/>
        <v>23</v>
      </c>
      <c r="AM123" s="36">
        <f t="shared" si="115"/>
        <v>52.5</v>
      </c>
      <c r="AN123" s="36">
        <f t="shared" si="116"/>
        <v>9.5</v>
      </c>
      <c r="AO123" s="36">
        <f t="shared" si="117"/>
        <v>168</v>
      </c>
      <c r="AP123" s="36">
        <f t="shared" si="118"/>
        <v>253</v>
      </c>
      <c r="AQ123" s="36">
        <v>0</v>
      </c>
      <c r="AR123" s="36">
        <v>104</v>
      </c>
      <c r="AS123" s="36">
        <v>0</v>
      </c>
      <c r="AT123" s="36">
        <v>0</v>
      </c>
      <c r="AU123" s="36">
        <v>0</v>
      </c>
      <c r="AV123" s="36">
        <v>0</v>
      </c>
      <c r="AW123" s="36">
        <v>0</v>
      </c>
      <c r="AX123" s="36">
        <v>0</v>
      </c>
      <c r="AY123" s="36">
        <v>0</v>
      </c>
      <c r="AZ123" s="36">
        <v>0</v>
      </c>
    </row>
    <row r="124" s="24" customFormat="1" ht="21" customHeight="1" spans="1:52">
      <c r="A124" s="42"/>
      <c r="B124" s="43"/>
      <c r="C124" s="42"/>
      <c r="D124" s="37" t="s">
        <v>37</v>
      </c>
      <c r="E124" s="38">
        <v>2</v>
      </c>
      <c r="F124" s="38"/>
      <c r="G124" s="38">
        <v>2</v>
      </c>
      <c r="H124" s="38"/>
      <c r="I124" s="38"/>
      <c r="J124" s="39">
        <v>8</v>
      </c>
      <c r="K124" s="39">
        <v>8</v>
      </c>
      <c r="L124" s="38">
        <v>3</v>
      </c>
      <c r="M124" s="38"/>
      <c r="N124" s="38"/>
      <c r="O124" s="38"/>
      <c r="P124" s="38"/>
      <c r="Q124" s="39">
        <v>9.5</v>
      </c>
      <c r="R124" s="39"/>
      <c r="S124" s="38"/>
      <c r="T124" s="38">
        <v>3</v>
      </c>
      <c r="U124" s="38">
        <v>1.5</v>
      </c>
      <c r="V124" s="38">
        <v>1</v>
      </c>
      <c r="W124" s="40">
        <v>9.5</v>
      </c>
      <c r="X124" s="39">
        <v>9.5</v>
      </c>
      <c r="Y124" s="39">
        <v>9.5</v>
      </c>
      <c r="Z124" s="38">
        <v>1.5</v>
      </c>
      <c r="AA124" s="38">
        <v>1.5</v>
      </c>
      <c r="AB124" s="38"/>
      <c r="AC124" s="38">
        <v>1</v>
      </c>
      <c r="AD124" s="38">
        <v>1.5</v>
      </c>
      <c r="AE124" s="39">
        <v>8</v>
      </c>
      <c r="AF124" s="39"/>
      <c r="AG124" s="38">
        <v>2.5</v>
      </c>
      <c r="AH124" s="38">
        <v>2.5</v>
      </c>
      <c r="AI124" s="37">
        <v>2</v>
      </c>
      <c r="AJ124" s="43"/>
      <c r="AK124" s="43"/>
      <c r="AL124" s="43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</row>
    <row r="125" s="24" customFormat="1" ht="21" customHeight="1" spans="1:52">
      <c r="A125" s="36">
        <v>61</v>
      </c>
      <c r="B125" s="35" t="s">
        <v>32</v>
      </c>
      <c r="C125" s="36" t="s">
        <v>128</v>
      </c>
      <c r="D125" s="37" t="s">
        <v>34</v>
      </c>
      <c r="E125" s="44" t="s">
        <v>35</v>
      </c>
      <c r="F125" s="44" t="s">
        <v>35</v>
      </c>
      <c r="G125" s="44" t="s">
        <v>35</v>
      </c>
      <c r="H125" s="44" t="s">
        <v>35</v>
      </c>
      <c r="I125" s="44" t="s">
        <v>35</v>
      </c>
      <c r="J125" s="39" t="s">
        <v>36</v>
      </c>
      <c r="K125" s="39" t="s">
        <v>36</v>
      </c>
      <c r="L125" s="44" t="s">
        <v>97</v>
      </c>
      <c r="M125" s="44" t="s">
        <v>129</v>
      </c>
      <c r="N125" s="44" t="s">
        <v>35</v>
      </c>
      <c r="O125" s="44" t="s">
        <v>35</v>
      </c>
      <c r="P125" s="44" t="s">
        <v>35</v>
      </c>
      <c r="Q125" s="39"/>
      <c r="R125" s="39"/>
      <c r="S125" s="44" t="s">
        <v>35</v>
      </c>
      <c r="T125" s="44" t="s">
        <v>35</v>
      </c>
      <c r="U125" s="44" t="s">
        <v>35</v>
      </c>
      <c r="V125" s="44" t="s">
        <v>35</v>
      </c>
      <c r="W125" s="40"/>
      <c r="X125" s="39"/>
      <c r="Y125" s="39" t="s">
        <v>36</v>
      </c>
      <c r="Z125" s="44" t="s">
        <v>35</v>
      </c>
      <c r="AA125" s="44" t="s">
        <v>35</v>
      </c>
      <c r="AB125" s="44" t="s">
        <v>35</v>
      </c>
      <c r="AC125" s="44" t="s">
        <v>39</v>
      </c>
      <c r="AD125" s="44" t="s">
        <v>39</v>
      </c>
      <c r="AE125" s="39" t="s">
        <v>36</v>
      </c>
      <c r="AF125" s="39" t="s">
        <v>39</v>
      </c>
      <c r="AG125" s="44" t="s">
        <v>35</v>
      </c>
      <c r="AH125" s="44" t="s">
        <v>35</v>
      </c>
      <c r="AI125" s="37">
        <v>17</v>
      </c>
      <c r="AJ125" s="35">
        <f t="shared" ref="AJ125:AJ129" si="119">AI125+AI126</f>
        <v>33</v>
      </c>
      <c r="AK125" s="35">
        <v>3</v>
      </c>
      <c r="AL125" s="35">
        <f t="shared" ref="AL125:AL129" si="120">E126+F126+G126+H126+I126+L126+M126+N126+O126+P126+S126+T126+U126+V126+Z126+AA126+AB126+AC126+AD126+AG126+AH126</f>
        <v>20.5</v>
      </c>
      <c r="AM125" s="36">
        <f t="shared" ref="AM125:AM129" si="121">J126+K126+Q126+R126+X126+Y126+AE126+AF126</f>
        <v>34</v>
      </c>
      <c r="AN125" s="36">
        <f t="shared" ref="AN125:AN129" si="122">W126</f>
        <v>8</v>
      </c>
      <c r="AO125" s="36">
        <f t="shared" ref="AO125:AO129" si="123">21*8</f>
        <v>168</v>
      </c>
      <c r="AP125" s="36">
        <f t="shared" ref="AP125:AP129" si="124">AL125+AM125+AN125+AO125-AQ125-AS125-AT125-AV125-AW125-AX125-AY125-AZ125-AU125</f>
        <v>219</v>
      </c>
      <c r="AQ125" s="36">
        <v>11.5</v>
      </c>
      <c r="AR125" s="36">
        <f>19.5-AQ125</f>
        <v>8</v>
      </c>
      <c r="AS125" s="36">
        <v>0</v>
      </c>
      <c r="AT125" s="36">
        <v>0</v>
      </c>
      <c r="AU125" s="36">
        <v>0</v>
      </c>
      <c r="AV125" s="36">
        <v>0</v>
      </c>
      <c r="AW125" s="36">
        <v>0</v>
      </c>
      <c r="AX125" s="36">
        <v>0</v>
      </c>
      <c r="AY125" s="36">
        <v>0</v>
      </c>
      <c r="AZ125" s="36">
        <v>0</v>
      </c>
    </row>
    <row r="126" s="24" customFormat="1" ht="21" customHeight="1" spans="1:52">
      <c r="A126" s="42"/>
      <c r="B126" s="43"/>
      <c r="C126" s="42"/>
      <c r="D126" s="37" t="s">
        <v>37</v>
      </c>
      <c r="E126" s="38"/>
      <c r="F126" s="38"/>
      <c r="G126" s="38"/>
      <c r="H126" s="38">
        <v>2</v>
      </c>
      <c r="I126" s="38">
        <v>1.5</v>
      </c>
      <c r="J126" s="39"/>
      <c r="K126" s="39"/>
      <c r="L126" s="38"/>
      <c r="M126" s="38">
        <v>1.5</v>
      </c>
      <c r="N126" s="38"/>
      <c r="O126" s="38">
        <v>2</v>
      </c>
      <c r="P126" s="38"/>
      <c r="Q126" s="39">
        <v>10</v>
      </c>
      <c r="R126" s="39">
        <v>8</v>
      </c>
      <c r="S126" s="38">
        <v>2</v>
      </c>
      <c r="T126" s="38">
        <v>1.5</v>
      </c>
      <c r="U126" s="38">
        <v>1.5</v>
      </c>
      <c r="V126" s="38"/>
      <c r="W126" s="40">
        <v>8</v>
      </c>
      <c r="X126" s="39">
        <v>8</v>
      </c>
      <c r="Y126" s="39"/>
      <c r="Z126" s="38">
        <v>1.5</v>
      </c>
      <c r="AA126" s="38">
        <v>2</v>
      </c>
      <c r="AB126" s="38">
        <v>2.5</v>
      </c>
      <c r="AC126" s="38"/>
      <c r="AD126" s="38"/>
      <c r="AE126" s="39"/>
      <c r="AF126" s="39">
        <v>8</v>
      </c>
      <c r="AG126" s="38"/>
      <c r="AH126" s="38">
        <v>2.5</v>
      </c>
      <c r="AI126" s="37">
        <v>16</v>
      </c>
      <c r="AJ126" s="43"/>
      <c r="AK126" s="43"/>
      <c r="AL126" s="43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</row>
    <row r="127" s="24" customFormat="1" ht="21" customHeight="1" spans="1:52">
      <c r="A127" s="36">
        <v>62</v>
      </c>
      <c r="B127" s="35" t="s">
        <v>32</v>
      </c>
      <c r="C127" s="36" t="s">
        <v>130</v>
      </c>
      <c r="D127" s="37" t="s">
        <v>34</v>
      </c>
      <c r="E127" s="44" t="s">
        <v>35</v>
      </c>
      <c r="F127" s="44" t="s">
        <v>35</v>
      </c>
      <c r="G127" s="44" t="s">
        <v>35</v>
      </c>
      <c r="H127" s="44" t="s">
        <v>35</v>
      </c>
      <c r="I127" s="44" t="s">
        <v>35</v>
      </c>
      <c r="J127" s="39"/>
      <c r="K127" s="39" t="s">
        <v>36</v>
      </c>
      <c r="L127" s="44" t="s">
        <v>35</v>
      </c>
      <c r="M127" s="44" t="s">
        <v>35</v>
      </c>
      <c r="N127" s="44" t="s">
        <v>35</v>
      </c>
      <c r="O127" s="44" t="s">
        <v>79</v>
      </c>
      <c r="P127" s="44" t="s">
        <v>35</v>
      </c>
      <c r="Q127" s="39" t="s">
        <v>36</v>
      </c>
      <c r="R127" s="39"/>
      <c r="S127" s="44" t="s">
        <v>35</v>
      </c>
      <c r="T127" s="44" t="s">
        <v>35</v>
      </c>
      <c r="U127" s="44" t="s">
        <v>35</v>
      </c>
      <c r="V127" s="44" t="s">
        <v>35</v>
      </c>
      <c r="W127" s="40"/>
      <c r="X127" s="39" t="s">
        <v>36</v>
      </c>
      <c r="Y127" s="39" t="s">
        <v>36</v>
      </c>
      <c r="Z127" s="44" t="s">
        <v>35</v>
      </c>
      <c r="AA127" s="44" t="s">
        <v>35</v>
      </c>
      <c r="AB127" s="44" t="s">
        <v>35</v>
      </c>
      <c r="AC127" s="44" t="s">
        <v>35</v>
      </c>
      <c r="AD127" s="44" t="s">
        <v>35</v>
      </c>
      <c r="AE127" s="39"/>
      <c r="AF127" s="39" t="s">
        <v>36</v>
      </c>
      <c r="AG127" s="44" t="s">
        <v>35</v>
      </c>
      <c r="AH127" s="44" t="s">
        <v>35</v>
      </c>
      <c r="AI127" s="37">
        <v>20</v>
      </c>
      <c r="AJ127" s="35">
        <f t="shared" si="119"/>
        <v>34</v>
      </c>
      <c r="AK127" s="35">
        <v>0</v>
      </c>
      <c r="AL127" s="35">
        <f t="shared" si="120"/>
        <v>9</v>
      </c>
      <c r="AM127" s="36">
        <f t="shared" si="121"/>
        <v>30.5</v>
      </c>
      <c r="AN127" s="36">
        <f t="shared" si="122"/>
        <v>9.5</v>
      </c>
      <c r="AO127" s="36">
        <f t="shared" si="123"/>
        <v>168</v>
      </c>
      <c r="AP127" s="36">
        <f t="shared" si="124"/>
        <v>209</v>
      </c>
      <c r="AQ127" s="36">
        <v>0</v>
      </c>
      <c r="AR127" s="36">
        <v>38.5</v>
      </c>
      <c r="AS127" s="36">
        <v>8</v>
      </c>
      <c r="AT127" s="36">
        <v>0</v>
      </c>
      <c r="AU127" s="36">
        <v>0</v>
      </c>
      <c r="AV127" s="36">
        <v>0</v>
      </c>
      <c r="AW127" s="36">
        <v>0</v>
      </c>
      <c r="AX127" s="36">
        <v>0</v>
      </c>
      <c r="AY127" s="36">
        <v>0</v>
      </c>
      <c r="AZ127" s="36">
        <v>0</v>
      </c>
    </row>
    <row r="128" s="24" customFormat="1" ht="21" customHeight="1" spans="1:52">
      <c r="A128" s="42"/>
      <c r="B128" s="43"/>
      <c r="C128" s="42"/>
      <c r="D128" s="37" t="s">
        <v>37</v>
      </c>
      <c r="E128" s="38"/>
      <c r="F128" s="38"/>
      <c r="G128" s="38">
        <v>1.5</v>
      </c>
      <c r="H128" s="38"/>
      <c r="I128" s="38"/>
      <c r="J128" s="39">
        <v>9.5</v>
      </c>
      <c r="K128" s="39"/>
      <c r="L128" s="38"/>
      <c r="M128" s="38"/>
      <c r="N128" s="38"/>
      <c r="O128" s="38"/>
      <c r="P128" s="38"/>
      <c r="Q128" s="39"/>
      <c r="R128" s="39">
        <v>10.5</v>
      </c>
      <c r="S128" s="38"/>
      <c r="T128" s="38"/>
      <c r="U128" s="38"/>
      <c r="V128" s="38">
        <v>1.5</v>
      </c>
      <c r="W128" s="40">
        <v>9.5</v>
      </c>
      <c r="X128" s="39"/>
      <c r="Y128" s="39"/>
      <c r="Z128" s="38"/>
      <c r="AA128" s="38">
        <v>1.5</v>
      </c>
      <c r="AB128" s="38">
        <v>1.5</v>
      </c>
      <c r="AC128" s="38"/>
      <c r="AD128" s="38">
        <v>1.5</v>
      </c>
      <c r="AE128" s="39">
        <v>10.5</v>
      </c>
      <c r="AF128" s="39"/>
      <c r="AG128" s="38">
        <v>1.5</v>
      </c>
      <c r="AH128" s="38"/>
      <c r="AI128" s="37">
        <v>14</v>
      </c>
      <c r="AJ128" s="43"/>
      <c r="AK128" s="43"/>
      <c r="AL128" s="43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</row>
    <row r="129" s="24" customFormat="1" ht="21" customHeight="1" spans="1:52">
      <c r="A129" s="36">
        <v>63</v>
      </c>
      <c r="B129" s="35" t="s">
        <v>32</v>
      </c>
      <c r="C129" s="36" t="s">
        <v>131</v>
      </c>
      <c r="D129" s="37" t="s">
        <v>34</v>
      </c>
      <c r="E129" s="44" t="s">
        <v>35</v>
      </c>
      <c r="F129" s="44" t="s">
        <v>35</v>
      </c>
      <c r="G129" s="44" t="s">
        <v>39</v>
      </c>
      <c r="H129" s="44" t="s">
        <v>39</v>
      </c>
      <c r="I129" s="44" t="s">
        <v>39</v>
      </c>
      <c r="J129" s="39" t="s">
        <v>39</v>
      </c>
      <c r="K129" s="39" t="s">
        <v>39</v>
      </c>
      <c r="L129" s="44" t="s">
        <v>39</v>
      </c>
      <c r="M129" s="44" t="s">
        <v>39</v>
      </c>
      <c r="N129" s="44" t="s">
        <v>39</v>
      </c>
      <c r="O129" s="44" t="s">
        <v>39</v>
      </c>
      <c r="P129" s="44" t="s">
        <v>39</v>
      </c>
      <c r="Q129" s="39" t="s">
        <v>39</v>
      </c>
      <c r="R129" s="39" t="s">
        <v>39</v>
      </c>
      <c r="S129" s="44" t="s">
        <v>39</v>
      </c>
      <c r="T129" s="44" t="s">
        <v>39</v>
      </c>
      <c r="U129" s="44" t="s">
        <v>39</v>
      </c>
      <c r="V129" s="44" t="s">
        <v>39</v>
      </c>
      <c r="W129" s="40"/>
      <c r="X129" s="39"/>
      <c r="Y129" s="39"/>
      <c r="Z129" s="44" t="s">
        <v>35</v>
      </c>
      <c r="AA129" s="44" t="s">
        <v>35</v>
      </c>
      <c r="AB129" s="44" t="s">
        <v>35</v>
      </c>
      <c r="AC129" s="44" t="s">
        <v>35</v>
      </c>
      <c r="AD129" s="44" t="s">
        <v>35</v>
      </c>
      <c r="AE129" s="39" t="s">
        <v>36</v>
      </c>
      <c r="AF129" s="39"/>
      <c r="AG129" s="44" t="s">
        <v>35</v>
      </c>
      <c r="AH129" s="44" t="s">
        <v>35</v>
      </c>
      <c r="AI129" s="37">
        <v>9</v>
      </c>
      <c r="AJ129" s="35">
        <f t="shared" si="119"/>
        <v>16</v>
      </c>
      <c r="AK129" s="35">
        <v>16</v>
      </c>
      <c r="AL129" s="35">
        <f t="shared" si="120"/>
        <v>3</v>
      </c>
      <c r="AM129" s="36">
        <f t="shared" si="121"/>
        <v>56</v>
      </c>
      <c r="AN129" s="36">
        <f t="shared" si="122"/>
        <v>10</v>
      </c>
      <c r="AO129" s="36">
        <f t="shared" si="123"/>
        <v>168</v>
      </c>
      <c r="AP129" s="36">
        <f t="shared" si="124"/>
        <v>237</v>
      </c>
      <c r="AQ129" s="36">
        <v>0</v>
      </c>
      <c r="AR129" s="36">
        <v>66</v>
      </c>
      <c r="AS129" s="36">
        <v>0</v>
      </c>
      <c r="AT129" s="36">
        <v>0</v>
      </c>
      <c r="AU129" s="36">
        <v>0</v>
      </c>
      <c r="AV129" s="36">
        <v>0</v>
      </c>
      <c r="AW129" s="36">
        <v>0</v>
      </c>
      <c r="AX129" s="36">
        <v>0</v>
      </c>
      <c r="AY129" s="36">
        <v>0</v>
      </c>
      <c r="AZ129" s="36">
        <v>0</v>
      </c>
    </row>
    <row r="130" s="24" customFormat="1" ht="21" customHeight="1" spans="1:52">
      <c r="A130" s="42"/>
      <c r="B130" s="43"/>
      <c r="C130" s="42"/>
      <c r="D130" s="37" t="s">
        <v>37</v>
      </c>
      <c r="E130" s="38"/>
      <c r="F130" s="38"/>
      <c r="G130" s="38"/>
      <c r="H130" s="38"/>
      <c r="I130" s="38"/>
      <c r="J130" s="39">
        <v>8</v>
      </c>
      <c r="K130" s="39">
        <v>8</v>
      </c>
      <c r="L130" s="38"/>
      <c r="M130" s="38"/>
      <c r="N130" s="38"/>
      <c r="O130" s="38"/>
      <c r="P130" s="38"/>
      <c r="Q130" s="39">
        <v>8</v>
      </c>
      <c r="R130" s="39">
        <v>8</v>
      </c>
      <c r="S130" s="38"/>
      <c r="T130" s="38"/>
      <c r="U130" s="38"/>
      <c r="V130" s="38"/>
      <c r="W130" s="40">
        <v>10</v>
      </c>
      <c r="X130" s="39">
        <v>8</v>
      </c>
      <c r="Y130" s="39">
        <v>8</v>
      </c>
      <c r="Z130" s="38"/>
      <c r="AA130" s="38">
        <v>1.5</v>
      </c>
      <c r="AB130" s="38"/>
      <c r="AC130" s="38"/>
      <c r="AD130" s="38"/>
      <c r="AE130" s="39"/>
      <c r="AF130" s="39">
        <v>8</v>
      </c>
      <c r="AG130" s="38">
        <v>1.5</v>
      </c>
      <c r="AH130" s="38"/>
      <c r="AI130" s="37">
        <v>7</v>
      </c>
      <c r="AJ130" s="43"/>
      <c r="AK130" s="43"/>
      <c r="AL130" s="43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</row>
    <row r="131" s="24" customFormat="1" ht="21" customHeight="1" spans="1:52">
      <c r="A131" s="36">
        <v>64</v>
      </c>
      <c r="B131" s="35" t="s">
        <v>32</v>
      </c>
      <c r="C131" s="36" t="s">
        <v>132</v>
      </c>
      <c r="D131" s="61" t="s">
        <v>34</v>
      </c>
      <c r="E131" s="44" t="s">
        <v>35</v>
      </c>
      <c r="F131" s="44" t="s">
        <v>35</v>
      </c>
      <c r="G131" s="44" t="s">
        <v>35</v>
      </c>
      <c r="H131" s="44" t="s">
        <v>35</v>
      </c>
      <c r="I131" s="44" t="s">
        <v>35</v>
      </c>
      <c r="J131" s="39"/>
      <c r="K131" s="39" t="s">
        <v>36</v>
      </c>
      <c r="L131" s="44" t="s">
        <v>35</v>
      </c>
      <c r="M131" s="44" t="s">
        <v>54</v>
      </c>
      <c r="N131" s="44" t="s">
        <v>35</v>
      </c>
      <c r="O131" s="44" t="s">
        <v>35</v>
      </c>
      <c r="P131" s="44" t="s">
        <v>35</v>
      </c>
      <c r="Q131" s="39"/>
      <c r="R131" s="39" t="s">
        <v>36</v>
      </c>
      <c r="S131" s="44" t="s">
        <v>35</v>
      </c>
      <c r="T131" s="44" t="s">
        <v>35</v>
      </c>
      <c r="U131" s="44" t="s">
        <v>35</v>
      </c>
      <c r="V131" s="44" t="s">
        <v>35</v>
      </c>
      <c r="W131" s="40" t="s">
        <v>36</v>
      </c>
      <c r="X131" s="39" t="s">
        <v>36</v>
      </c>
      <c r="Y131" s="39"/>
      <c r="Z131" s="44" t="s">
        <v>35</v>
      </c>
      <c r="AA131" s="44" t="s">
        <v>35</v>
      </c>
      <c r="AB131" s="44" t="s">
        <v>35</v>
      </c>
      <c r="AC131" s="44" t="s">
        <v>35</v>
      </c>
      <c r="AD131" s="44" t="s">
        <v>35</v>
      </c>
      <c r="AE131" s="39"/>
      <c r="AF131" s="39" t="s">
        <v>36</v>
      </c>
      <c r="AG131" s="44" t="s">
        <v>35</v>
      </c>
      <c r="AH131" s="44" t="s">
        <v>35</v>
      </c>
      <c r="AI131" s="61">
        <v>21</v>
      </c>
      <c r="AJ131" s="62">
        <f t="shared" ref="AJ131:AJ135" si="125">AI131+AI132</f>
        <v>41</v>
      </c>
      <c r="AK131" s="35">
        <v>0</v>
      </c>
      <c r="AL131" s="35">
        <f t="shared" ref="AL131:AL135" si="126">E132+F132+G132+H132+I132+L132+M132+N132+O132+P132+S132+T132+U132+V132+Z132+AA132+AB132+AC132+AD132+AG132+AH132</f>
        <v>22.5</v>
      </c>
      <c r="AM131" s="36">
        <f t="shared" ref="AM131:AM135" si="127">J132+K132+Q132+R132+X132+Y132+AE132+AF132</f>
        <v>38</v>
      </c>
      <c r="AN131" s="36">
        <f t="shared" ref="AN131:AN135" si="128">W132</f>
        <v>0</v>
      </c>
      <c r="AO131" s="36">
        <f t="shared" ref="AO131:AO135" si="129">21*8</f>
        <v>168</v>
      </c>
      <c r="AP131" s="63">
        <f t="shared" ref="AP131:AP135" si="130">AL131+AM131+AN131+AO131-AQ131-AS131-AT131-AV131-AW131-AX131-AY131-AZ131-AU131</f>
        <v>220.5</v>
      </c>
      <c r="AQ131" s="63">
        <v>8</v>
      </c>
      <c r="AR131" s="36">
        <f>40-AQ131</f>
        <v>32</v>
      </c>
      <c r="AS131" s="36">
        <v>0</v>
      </c>
      <c r="AT131" s="36">
        <v>0</v>
      </c>
      <c r="AU131" s="36">
        <v>0</v>
      </c>
      <c r="AV131" s="36">
        <v>0</v>
      </c>
      <c r="AW131" s="36">
        <v>0</v>
      </c>
      <c r="AX131" s="36">
        <v>0</v>
      </c>
      <c r="AY131" s="36">
        <v>0</v>
      </c>
      <c r="AZ131" s="36">
        <v>0</v>
      </c>
    </row>
    <row r="132" s="24" customFormat="1" ht="21" customHeight="1" spans="1:52">
      <c r="A132" s="42"/>
      <c r="B132" s="43"/>
      <c r="C132" s="42"/>
      <c r="D132" s="61" t="s">
        <v>37</v>
      </c>
      <c r="E132" s="38">
        <v>5</v>
      </c>
      <c r="F132" s="38"/>
      <c r="G132" s="38">
        <v>2.5</v>
      </c>
      <c r="H132" s="38"/>
      <c r="I132" s="38">
        <v>1.5</v>
      </c>
      <c r="J132" s="39">
        <v>9.5</v>
      </c>
      <c r="K132" s="39"/>
      <c r="L132" s="38">
        <v>1.5</v>
      </c>
      <c r="M132" s="38"/>
      <c r="N132" s="38">
        <v>1.5</v>
      </c>
      <c r="O132" s="38"/>
      <c r="P132" s="38">
        <v>1.5</v>
      </c>
      <c r="Q132" s="39">
        <v>9.5</v>
      </c>
      <c r="R132" s="39"/>
      <c r="S132" s="38">
        <v>1.5</v>
      </c>
      <c r="T132" s="38">
        <v>1.5</v>
      </c>
      <c r="U132" s="38"/>
      <c r="V132" s="38">
        <v>1.5</v>
      </c>
      <c r="W132" s="40"/>
      <c r="X132" s="39"/>
      <c r="Y132" s="39">
        <v>9.5</v>
      </c>
      <c r="Z132" s="38"/>
      <c r="AA132" s="38">
        <v>1.5</v>
      </c>
      <c r="AB132" s="38">
        <v>1.5</v>
      </c>
      <c r="AC132" s="38">
        <v>1.5</v>
      </c>
      <c r="AD132" s="38"/>
      <c r="AE132" s="39">
        <v>9.5</v>
      </c>
      <c r="AF132" s="39"/>
      <c r="AG132" s="38"/>
      <c r="AH132" s="38"/>
      <c r="AI132" s="61">
        <v>20</v>
      </c>
      <c r="AJ132" s="64"/>
      <c r="AK132" s="43"/>
      <c r="AL132" s="43"/>
      <c r="AM132" s="42"/>
      <c r="AN132" s="42"/>
      <c r="AO132" s="42"/>
      <c r="AP132" s="65"/>
      <c r="AQ132" s="65"/>
      <c r="AR132" s="42"/>
      <c r="AS132" s="42"/>
      <c r="AT132" s="42"/>
      <c r="AU132" s="42"/>
      <c r="AV132" s="42"/>
      <c r="AW132" s="42"/>
      <c r="AX132" s="42"/>
      <c r="AY132" s="42"/>
      <c r="AZ132" s="42"/>
    </row>
    <row r="133" s="24" customFormat="1" ht="21" customHeight="1" spans="1:52">
      <c r="A133" s="36">
        <v>65</v>
      </c>
      <c r="B133" s="35" t="s">
        <v>32</v>
      </c>
      <c r="C133" s="36" t="s">
        <v>133</v>
      </c>
      <c r="D133" s="37" t="s">
        <v>34</v>
      </c>
      <c r="E133" s="44" t="s">
        <v>35</v>
      </c>
      <c r="F133" s="44" t="s">
        <v>35</v>
      </c>
      <c r="G133" s="44" t="s">
        <v>35</v>
      </c>
      <c r="H133" s="44" t="s">
        <v>35</v>
      </c>
      <c r="I133" s="44" t="s">
        <v>35</v>
      </c>
      <c r="J133" s="39" t="s">
        <v>36</v>
      </c>
      <c r="K133" s="39" t="s">
        <v>36</v>
      </c>
      <c r="L133" s="44" t="s">
        <v>35</v>
      </c>
      <c r="M133" s="44" t="s">
        <v>35</v>
      </c>
      <c r="N133" s="44" t="s">
        <v>35</v>
      </c>
      <c r="O133" s="44" t="s">
        <v>35</v>
      </c>
      <c r="P133" s="44" t="s">
        <v>35</v>
      </c>
      <c r="Q133" s="39" t="s">
        <v>36</v>
      </c>
      <c r="R133" s="39" t="s">
        <v>36</v>
      </c>
      <c r="S133" s="44" t="s">
        <v>35</v>
      </c>
      <c r="T133" s="44" t="s">
        <v>35</v>
      </c>
      <c r="U133" s="44" t="s">
        <v>35</v>
      </c>
      <c r="V133" s="44" t="s">
        <v>35</v>
      </c>
      <c r="W133" s="40" t="s">
        <v>36</v>
      </c>
      <c r="X133" s="39" t="s">
        <v>36</v>
      </c>
      <c r="Y133" s="39" t="s">
        <v>36</v>
      </c>
      <c r="Z133" s="44" t="s">
        <v>39</v>
      </c>
      <c r="AA133" s="44" t="s">
        <v>35</v>
      </c>
      <c r="AB133" s="44" t="s">
        <v>35</v>
      </c>
      <c r="AC133" s="44" t="s">
        <v>35</v>
      </c>
      <c r="AD133" s="44" t="s">
        <v>35</v>
      </c>
      <c r="AE133" s="39" t="s">
        <v>36</v>
      </c>
      <c r="AF133" s="39" t="s">
        <v>36</v>
      </c>
      <c r="AG133" s="44" t="s">
        <v>35</v>
      </c>
      <c r="AH133" s="44" t="s">
        <v>35</v>
      </c>
      <c r="AI133" s="37">
        <v>20</v>
      </c>
      <c r="AJ133" s="35">
        <f t="shared" si="125"/>
        <v>20</v>
      </c>
      <c r="AK133" s="35">
        <v>1</v>
      </c>
      <c r="AL133" s="35">
        <f t="shared" si="126"/>
        <v>0</v>
      </c>
      <c r="AM133" s="36">
        <f t="shared" si="127"/>
        <v>0</v>
      </c>
      <c r="AN133" s="36">
        <f t="shared" si="128"/>
        <v>0</v>
      </c>
      <c r="AO133" s="36">
        <f t="shared" si="129"/>
        <v>168</v>
      </c>
      <c r="AP133" s="36">
        <f t="shared" si="130"/>
        <v>168</v>
      </c>
      <c r="AQ133" s="36">
        <v>0</v>
      </c>
      <c r="AR133" s="36">
        <v>40</v>
      </c>
      <c r="AS133" s="36">
        <v>0</v>
      </c>
      <c r="AT133" s="36">
        <v>0</v>
      </c>
      <c r="AU133" s="36">
        <v>0</v>
      </c>
      <c r="AV133" s="36">
        <v>0</v>
      </c>
      <c r="AW133" s="36">
        <v>0</v>
      </c>
      <c r="AX133" s="36">
        <v>0</v>
      </c>
      <c r="AY133" s="36">
        <v>0</v>
      </c>
      <c r="AZ133" s="36">
        <v>0</v>
      </c>
    </row>
    <row r="134" s="24" customFormat="1" ht="21" customHeight="1" spans="1:52">
      <c r="A134" s="42"/>
      <c r="B134" s="43"/>
      <c r="C134" s="42"/>
      <c r="D134" s="37" t="s">
        <v>37</v>
      </c>
      <c r="E134" s="38"/>
      <c r="F134" s="38"/>
      <c r="G134" s="38"/>
      <c r="H134" s="38"/>
      <c r="I134" s="38"/>
      <c r="J134" s="39"/>
      <c r="K134" s="39"/>
      <c r="L134" s="38"/>
      <c r="M134" s="38"/>
      <c r="N134" s="38"/>
      <c r="O134" s="38"/>
      <c r="P134" s="38"/>
      <c r="Q134" s="39"/>
      <c r="R134" s="39"/>
      <c r="S134" s="38"/>
      <c r="T134" s="38"/>
      <c r="U134" s="38"/>
      <c r="V134" s="38"/>
      <c r="W134" s="40"/>
      <c r="X134" s="39"/>
      <c r="Y134" s="39"/>
      <c r="Z134" s="38"/>
      <c r="AA134" s="38"/>
      <c r="AB134" s="38"/>
      <c r="AC134" s="38"/>
      <c r="AD134" s="38"/>
      <c r="AE134" s="39"/>
      <c r="AF134" s="39"/>
      <c r="AG134" s="38"/>
      <c r="AH134" s="38"/>
      <c r="AI134" s="37">
        <v>0</v>
      </c>
      <c r="AJ134" s="43"/>
      <c r="AK134" s="43"/>
      <c r="AL134" s="43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</row>
    <row r="135" s="24" customFormat="1" ht="21" customHeight="1" spans="1:52">
      <c r="A135" s="36">
        <v>66</v>
      </c>
      <c r="B135" s="35" t="s">
        <v>32</v>
      </c>
      <c r="C135" s="36" t="s">
        <v>134</v>
      </c>
      <c r="D135" s="37" t="s">
        <v>34</v>
      </c>
      <c r="E135" s="44" t="s">
        <v>35</v>
      </c>
      <c r="F135" s="44" t="s">
        <v>35</v>
      </c>
      <c r="G135" s="44" t="s">
        <v>35</v>
      </c>
      <c r="H135" s="44" t="s">
        <v>35</v>
      </c>
      <c r="I135" s="44" t="s">
        <v>35</v>
      </c>
      <c r="J135" s="39"/>
      <c r="K135" s="39" t="s">
        <v>36</v>
      </c>
      <c r="L135" s="44" t="s">
        <v>35</v>
      </c>
      <c r="M135" s="44" t="s">
        <v>35</v>
      </c>
      <c r="N135" s="44" t="s">
        <v>35</v>
      </c>
      <c r="O135" s="44" t="s">
        <v>35</v>
      </c>
      <c r="P135" s="44" t="s">
        <v>35</v>
      </c>
      <c r="Q135" s="39"/>
      <c r="R135" s="39" t="s">
        <v>36</v>
      </c>
      <c r="S135" s="44" t="s">
        <v>35</v>
      </c>
      <c r="T135" s="44" t="s">
        <v>35</v>
      </c>
      <c r="U135" s="44" t="s">
        <v>35</v>
      </c>
      <c r="V135" s="44" t="s">
        <v>35</v>
      </c>
      <c r="W135" s="40"/>
      <c r="X135" s="39" t="s">
        <v>36</v>
      </c>
      <c r="Y135" s="39" t="s">
        <v>36</v>
      </c>
      <c r="Z135" s="44" t="s">
        <v>35</v>
      </c>
      <c r="AA135" s="44" t="s">
        <v>35</v>
      </c>
      <c r="AB135" s="44" t="s">
        <v>35</v>
      </c>
      <c r="AC135" s="44" t="s">
        <v>35</v>
      </c>
      <c r="AD135" s="44" t="s">
        <v>35</v>
      </c>
      <c r="AE135" s="39"/>
      <c r="AF135" s="39" t="s">
        <v>36</v>
      </c>
      <c r="AG135" s="44" t="s">
        <v>35</v>
      </c>
      <c r="AH135" s="44" t="s">
        <v>35</v>
      </c>
      <c r="AI135" s="37">
        <v>21</v>
      </c>
      <c r="AJ135" s="35">
        <f t="shared" si="125"/>
        <v>40</v>
      </c>
      <c r="AK135" s="35">
        <v>0</v>
      </c>
      <c r="AL135" s="35">
        <f t="shared" si="126"/>
        <v>34.5</v>
      </c>
      <c r="AM135" s="36">
        <f t="shared" si="127"/>
        <v>19</v>
      </c>
      <c r="AN135" s="36">
        <f t="shared" si="128"/>
        <v>6.5</v>
      </c>
      <c r="AO135" s="36">
        <f t="shared" si="129"/>
        <v>168</v>
      </c>
      <c r="AP135" s="36">
        <f t="shared" si="130"/>
        <v>228</v>
      </c>
      <c r="AQ135" s="36">
        <v>0</v>
      </c>
      <c r="AR135" s="36">
        <v>39</v>
      </c>
      <c r="AS135" s="36">
        <v>0</v>
      </c>
      <c r="AT135" s="36">
        <v>0</v>
      </c>
      <c r="AU135" s="36">
        <v>0</v>
      </c>
      <c r="AV135" s="36">
        <v>0</v>
      </c>
      <c r="AW135" s="36">
        <v>0</v>
      </c>
      <c r="AX135" s="36">
        <v>0</v>
      </c>
      <c r="AY135" s="36">
        <v>0</v>
      </c>
      <c r="AZ135" s="36">
        <v>0</v>
      </c>
    </row>
    <row r="136" s="24" customFormat="1" ht="21" customHeight="1" spans="1:52">
      <c r="A136" s="42"/>
      <c r="B136" s="43"/>
      <c r="C136" s="42"/>
      <c r="D136" s="37" t="s">
        <v>37</v>
      </c>
      <c r="E136" s="38"/>
      <c r="F136" s="38"/>
      <c r="G136" s="38">
        <v>2</v>
      </c>
      <c r="H136" s="38">
        <v>2</v>
      </c>
      <c r="I136" s="38">
        <v>1.5</v>
      </c>
      <c r="J136" s="39">
        <v>9</v>
      </c>
      <c r="K136" s="39"/>
      <c r="L136" s="38">
        <v>2</v>
      </c>
      <c r="M136" s="38">
        <v>3</v>
      </c>
      <c r="N136" s="38"/>
      <c r="O136" s="38">
        <v>3</v>
      </c>
      <c r="P136" s="38"/>
      <c r="Q136" s="39">
        <v>4.5</v>
      </c>
      <c r="R136" s="39"/>
      <c r="S136" s="44">
        <v>1.5</v>
      </c>
      <c r="T136" s="38"/>
      <c r="U136" s="38">
        <v>5</v>
      </c>
      <c r="V136" s="44">
        <v>1.5</v>
      </c>
      <c r="W136" s="40">
        <v>6.5</v>
      </c>
      <c r="X136" s="39"/>
      <c r="Y136" s="39"/>
      <c r="Z136" s="44">
        <v>1.5</v>
      </c>
      <c r="AA136" s="38">
        <v>3</v>
      </c>
      <c r="AB136" s="38">
        <v>2</v>
      </c>
      <c r="AC136" s="38"/>
      <c r="AD136" s="38">
        <v>2.5</v>
      </c>
      <c r="AE136" s="39">
        <v>5.5</v>
      </c>
      <c r="AF136" s="39"/>
      <c r="AG136" s="38">
        <v>3</v>
      </c>
      <c r="AH136" s="38">
        <v>1</v>
      </c>
      <c r="AI136" s="37">
        <v>19</v>
      </c>
      <c r="AJ136" s="43"/>
      <c r="AK136" s="43"/>
      <c r="AL136" s="43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</row>
    <row r="137" s="24" customFormat="1" ht="21" customHeight="1" spans="1:52">
      <c r="A137" s="36">
        <v>67</v>
      </c>
      <c r="B137" s="35" t="s">
        <v>32</v>
      </c>
      <c r="C137" s="36" t="s">
        <v>135</v>
      </c>
      <c r="D137" s="37" t="s">
        <v>34</v>
      </c>
      <c r="E137" s="44" t="s">
        <v>35</v>
      </c>
      <c r="F137" s="44" t="s">
        <v>35</v>
      </c>
      <c r="G137" s="44" t="s">
        <v>35</v>
      </c>
      <c r="H137" s="44" t="s">
        <v>35</v>
      </c>
      <c r="I137" s="44" t="s">
        <v>35</v>
      </c>
      <c r="J137" s="39"/>
      <c r="K137" s="39"/>
      <c r="L137" s="44" t="s">
        <v>35</v>
      </c>
      <c r="M137" s="44" t="s">
        <v>39</v>
      </c>
      <c r="N137" s="44" t="s">
        <v>39</v>
      </c>
      <c r="O137" s="44" t="s">
        <v>35</v>
      </c>
      <c r="P137" s="44" t="s">
        <v>35</v>
      </c>
      <c r="Q137" s="39"/>
      <c r="R137" s="39" t="s">
        <v>36</v>
      </c>
      <c r="S137" s="44" t="s">
        <v>35</v>
      </c>
      <c r="T137" s="44" t="s">
        <v>35</v>
      </c>
      <c r="U137" s="44" t="s">
        <v>35</v>
      </c>
      <c r="V137" s="44" t="s">
        <v>35</v>
      </c>
      <c r="W137" s="40"/>
      <c r="X137" s="39" t="s">
        <v>36</v>
      </c>
      <c r="Y137" s="39"/>
      <c r="Z137" s="44" t="s">
        <v>35</v>
      </c>
      <c r="AA137" s="44" t="s">
        <v>35</v>
      </c>
      <c r="AB137" s="44" t="s">
        <v>35</v>
      </c>
      <c r="AC137" s="44" t="s">
        <v>35</v>
      </c>
      <c r="AD137" s="44" t="s">
        <v>35</v>
      </c>
      <c r="AE137" s="39"/>
      <c r="AF137" s="39"/>
      <c r="AG137" s="44" t="s">
        <v>35</v>
      </c>
      <c r="AH137" s="44" t="s">
        <v>35</v>
      </c>
      <c r="AI137" s="37">
        <v>19</v>
      </c>
      <c r="AJ137" s="35">
        <f t="shared" ref="AJ137:AJ141" si="131">AI137+AI138</f>
        <v>43</v>
      </c>
      <c r="AK137" s="35">
        <v>2</v>
      </c>
      <c r="AL137" s="35">
        <f t="shared" ref="AL137:AL141" si="132">E138+F138+G138+H138+I138+L138+M138+N138+O138+P138+S138+T138+U138+V138+Z138+AA138+AB138+AC138+AD138+AG138+AH138</f>
        <v>36</v>
      </c>
      <c r="AM137" s="36">
        <f t="shared" ref="AM137:AM141" si="133">J138+K138+Q138+R138+X138+Y138+AE138+AF138</f>
        <v>53</v>
      </c>
      <c r="AN137" s="36">
        <f t="shared" ref="AN137:AN141" si="134">W138</f>
        <v>9</v>
      </c>
      <c r="AO137" s="36">
        <f t="shared" ref="AO137:AO141" si="135">21*8</f>
        <v>168</v>
      </c>
      <c r="AP137" s="36">
        <f t="shared" ref="AP137:AP141" si="136">AL137+AM137+AN137+AO137-AQ137-AS137-AT137-AV137-AW137-AX137-AY137-AZ137-AU137</f>
        <v>266</v>
      </c>
      <c r="AQ137" s="36">
        <v>0</v>
      </c>
      <c r="AR137" s="36">
        <v>24</v>
      </c>
      <c r="AS137" s="36">
        <v>0</v>
      </c>
      <c r="AT137" s="36">
        <v>0</v>
      </c>
      <c r="AU137" s="36">
        <v>0</v>
      </c>
      <c r="AV137" s="36">
        <v>0</v>
      </c>
      <c r="AW137" s="36">
        <v>0</v>
      </c>
      <c r="AX137" s="36">
        <v>0</v>
      </c>
      <c r="AY137" s="36">
        <v>0</v>
      </c>
      <c r="AZ137" s="36">
        <v>0</v>
      </c>
    </row>
    <row r="138" s="24" customFormat="1" ht="21" customHeight="1" spans="1:52">
      <c r="A138" s="42"/>
      <c r="B138" s="43"/>
      <c r="C138" s="42"/>
      <c r="D138" s="37" t="s">
        <v>37</v>
      </c>
      <c r="E138" s="38">
        <v>2</v>
      </c>
      <c r="F138" s="38">
        <v>2.5</v>
      </c>
      <c r="G138" s="38"/>
      <c r="H138" s="38">
        <v>2.5</v>
      </c>
      <c r="I138" s="38">
        <v>2.5</v>
      </c>
      <c r="J138" s="39">
        <v>10.5</v>
      </c>
      <c r="K138" s="39">
        <v>8</v>
      </c>
      <c r="L138" s="38"/>
      <c r="M138" s="38"/>
      <c r="N138" s="38">
        <v>3</v>
      </c>
      <c r="O138" s="38"/>
      <c r="P138" s="38">
        <v>2.5</v>
      </c>
      <c r="Q138" s="39">
        <v>3</v>
      </c>
      <c r="R138" s="39"/>
      <c r="S138" s="38">
        <v>1</v>
      </c>
      <c r="T138" s="38"/>
      <c r="U138" s="38">
        <v>2.5</v>
      </c>
      <c r="V138" s="38">
        <v>2.5</v>
      </c>
      <c r="W138" s="40">
        <v>9</v>
      </c>
      <c r="X138" s="39"/>
      <c r="Y138" s="39">
        <v>10.5</v>
      </c>
      <c r="Z138" s="38">
        <v>2.5</v>
      </c>
      <c r="AA138" s="38">
        <v>2.5</v>
      </c>
      <c r="AB138" s="38">
        <v>2.5</v>
      </c>
      <c r="AC138" s="38">
        <v>2.5</v>
      </c>
      <c r="AD138" s="38"/>
      <c r="AE138" s="39">
        <v>10.5</v>
      </c>
      <c r="AF138" s="39">
        <v>10.5</v>
      </c>
      <c r="AG138" s="38">
        <v>2.5</v>
      </c>
      <c r="AH138" s="38">
        <v>2.5</v>
      </c>
      <c r="AI138" s="37">
        <v>24</v>
      </c>
      <c r="AJ138" s="43"/>
      <c r="AK138" s="43"/>
      <c r="AL138" s="43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</row>
    <row r="139" s="24" customFormat="1" ht="21" customHeight="1" spans="1:52">
      <c r="A139" s="36">
        <v>68</v>
      </c>
      <c r="B139" s="35" t="s">
        <v>32</v>
      </c>
      <c r="C139" s="36" t="s">
        <v>136</v>
      </c>
      <c r="D139" s="37" t="s">
        <v>34</v>
      </c>
      <c r="E139" s="44" t="s">
        <v>35</v>
      </c>
      <c r="F139" s="44" t="s">
        <v>35</v>
      </c>
      <c r="G139" s="44" t="s">
        <v>35</v>
      </c>
      <c r="H139" s="44" t="s">
        <v>35</v>
      </c>
      <c r="I139" s="44" t="s">
        <v>35</v>
      </c>
      <c r="J139" s="39"/>
      <c r="K139" s="39" t="s">
        <v>36</v>
      </c>
      <c r="L139" s="44" t="s">
        <v>35</v>
      </c>
      <c r="M139" s="44" t="s">
        <v>35</v>
      </c>
      <c r="N139" s="44" t="s">
        <v>35</v>
      </c>
      <c r="O139" s="44" t="s">
        <v>35</v>
      </c>
      <c r="P139" s="44" t="s">
        <v>35</v>
      </c>
      <c r="Q139" s="39"/>
      <c r="R139" s="39" t="s">
        <v>36</v>
      </c>
      <c r="S139" s="44" t="s">
        <v>35</v>
      </c>
      <c r="T139" s="44" t="s">
        <v>35</v>
      </c>
      <c r="U139" s="44" t="s">
        <v>35</v>
      </c>
      <c r="V139" s="44" t="s">
        <v>35</v>
      </c>
      <c r="W139" s="40"/>
      <c r="X139" s="39"/>
      <c r="Y139" s="39" t="s">
        <v>36</v>
      </c>
      <c r="Z139" s="44" t="s">
        <v>35</v>
      </c>
      <c r="AA139" s="44" t="s">
        <v>35</v>
      </c>
      <c r="AB139" s="44" t="s">
        <v>35</v>
      </c>
      <c r="AC139" s="44" t="s">
        <v>35</v>
      </c>
      <c r="AD139" s="44" t="s">
        <v>35</v>
      </c>
      <c r="AE139" s="39"/>
      <c r="AF139" s="39" t="s">
        <v>36</v>
      </c>
      <c r="AG139" s="44" t="s">
        <v>35</v>
      </c>
      <c r="AH139" s="44" t="s">
        <v>35</v>
      </c>
      <c r="AI139" s="37">
        <v>21</v>
      </c>
      <c r="AJ139" s="35">
        <f t="shared" si="131"/>
        <v>50</v>
      </c>
      <c r="AK139" s="35">
        <v>0</v>
      </c>
      <c r="AL139" s="35">
        <f t="shared" si="132"/>
        <v>58</v>
      </c>
      <c r="AM139" s="36">
        <f t="shared" si="133"/>
        <v>44</v>
      </c>
      <c r="AN139" s="36">
        <f t="shared" si="134"/>
        <v>11.5</v>
      </c>
      <c r="AO139" s="36">
        <f t="shared" si="135"/>
        <v>168</v>
      </c>
      <c r="AP139" s="36">
        <f t="shared" si="136"/>
        <v>281.5</v>
      </c>
      <c r="AQ139" s="36">
        <v>0</v>
      </c>
      <c r="AR139" s="36">
        <v>72</v>
      </c>
      <c r="AS139" s="36">
        <v>0</v>
      </c>
      <c r="AT139" s="36">
        <v>0</v>
      </c>
      <c r="AU139" s="36">
        <v>0</v>
      </c>
      <c r="AV139" s="36">
        <v>0</v>
      </c>
      <c r="AW139" s="36">
        <v>0</v>
      </c>
      <c r="AX139" s="36">
        <v>0</v>
      </c>
      <c r="AY139" s="36">
        <v>0</v>
      </c>
      <c r="AZ139" s="36">
        <v>0</v>
      </c>
    </row>
    <row r="140" s="24" customFormat="1" ht="21" customHeight="1" spans="1:52">
      <c r="A140" s="42"/>
      <c r="B140" s="43"/>
      <c r="C140" s="42"/>
      <c r="D140" s="37" t="s">
        <v>37</v>
      </c>
      <c r="E140" s="38">
        <v>2.5</v>
      </c>
      <c r="F140" s="38">
        <v>3</v>
      </c>
      <c r="G140" s="38">
        <v>2.5</v>
      </c>
      <c r="H140" s="38">
        <v>2.5</v>
      </c>
      <c r="I140" s="38">
        <v>2.5</v>
      </c>
      <c r="J140" s="39">
        <v>10</v>
      </c>
      <c r="K140" s="39"/>
      <c r="L140" s="38">
        <v>3</v>
      </c>
      <c r="M140" s="38">
        <v>3</v>
      </c>
      <c r="N140" s="38">
        <v>3</v>
      </c>
      <c r="O140" s="38"/>
      <c r="P140" s="38">
        <v>2.5</v>
      </c>
      <c r="Q140" s="39">
        <v>11</v>
      </c>
      <c r="R140" s="39"/>
      <c r="S140" s="38">
        <v>2.5</v>
      </c>
      <c r="T140" s="38">
        <v>2.5</v>
      </c>
      <c r="U140" s="38">
        <v>3.5</v>
      </c>
      <c r="V140" s="38">
        <v>4</v>
      </c>
      <c r="W140" s="40">
        <v>11.5</v>
      </c>
      <c r="X140" s="39">
        <v>11</v>
      </c>
      <c r="Y140" s="39"/>
      <c r="Z140" s="38">
        <v>4.5</v>
      </c>
      <c r="AA140" s="38">
        <v>3</v>
      </c>
      <c r="AB140" s="38">
        <v>2.5</v>
      </c>
      <c r="AC140" s="38"/>
      <c r="AD140" s="38">
        <v>4</v>
      </c>
      <c r="AE140" s="39">
        <v>12</v>
      </c>
      <c r="AF140" s="39"/>
      <c r="AG140" s="38">
        <v>4</v>
      </c>
      <c r="AH140" s="38">
        <v>3</v>
      </c>
      <c r="AI140" s="37">
        <v>29</v>
      </c>
      <c r="AJ140" s="43"/>
      <c r="AK140" s="43"/>
      <c r="AL140" s="43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</row>
    <row r="141" s="24" customFormat="1" ht="21.75" customHeight="1" spans="1:52">
      <c r="A141" s="36">
        <v>69</v>
      </c>
      <c r="B141" s="35" t="s">
        <v>32</v>
      </c>
      <c r="C141" s="36" t="s">
        <v>137</v>
      </c>
      <c r="D141" s="37" t="s">
        <v>34</v>
      </c>
      <c r="E141" s="44" t="s">
        <v>35</v>
      </c>
      <c r="F141" s="44" t="s">
        <v>35</v>
      </c>
      <c r="G141" s="44" t="s">
        <v>35</v>
      </c>
      <c r="H141" s="44" t="s">
        <v>35</v>
      </c>
      <c r="I141" s="44" t="s">
        <v>35</v>
      </c>
      <c r="J141" s="39"/>
      <c r="K141" s="39" t="s">
        <v>36</v>
      </c>
      <c r="L141" s="44" t="s">
        <v>35</v>
      </c>
      <c r="M141" s="44" t="s">
        <v>35</v>
      </c>
      <c r="N141" s="44" t="s">
        <v>35</v>
      </c>
      <c r="O141" s="44" t="s">
        <v>35</v>
      </c>
      <c r="P141" s="44" t="s">
        <v>35</v>
      </c>
      <c r="Q141" s="39"/>
      <c r="R141" s="39"/>
      <c r="S141" s="44" t="s">
        <v>35</v>
      </c>
      <c r="T141" s="44" t="s">
        <v>35</v>
      </c>
      <c r="U141" s="44" t="s">
        <v>35</v>
      </c>
      <c r="V141" s="44" t="s">
        <v>35</v>
      </c>
      <c r="W141" s="40"/>
      <c r="X141" s="39" t="s">
        <v>36</v>
      </c>
      <c r="Y141" s="39" t="s">
        <v>36</v>
      </c>
      <c r="Z141" s="44" t="s">
        <v>35</v>
      </c>
      <c r="AA141" s="44" t="s">
        <v>35</v>
      </c>
      <c r="AB141" s="44" t="s">
        <v>35</v>
      </c>
      <c r="AC141" s="44" t="s">
        <v>35</v>
      </c>
      <c r="AD141" s="44" t="s">
        <v>35</v>
      </c>
      <c r="AE141" s="39"/>
      <c r="AF141" s="39" t="s">
        <v>36</v>
      </c>
      <c r="AG141" s="44" t="s">
        <v>35</v>
      </c>
      <c r="AH141" s="44" t="s">
        <v>35</v>
      </c>
      <c r="AI141" s="37">
        <v>21</v>
      </c>
      <c r="AJ141" s="35">
        <f t="shared" si="131"/>
        <v>37</v>
      </c>
      <c r="AK141" s="35">
        <v>0</v>
      </c>
      <c r="AL141" s="35">
        <f t="shared" si="132"/>
        <v>13.5</v>
      </c>
      <c r="AM141" s="36">
        <f t="shared" si="133"/>
        <v>30.5</v>
      </c>
      <c r="AN141" s="36">
        <f t="shared" si="134"/>
        <v>8</v>
      </c>
      <c r="AO141" s="36">
        <f t="shared" si="135"/>
        <v>168</v>
      </c>
      <c r="AP141" s="36">
        <f t="shared" si="136"/>
        <v>220</v>
      </c>
      <c r="AQ141" s="36">
        <v>0</v>
      </c>
      <c r="AR141" s="36">
        <v>22</v>
      </c>
      <c r="AS141" s="36">
        <v>0</v>
      </c>
      <c r="AT141" s="36">
        <v>0</v>
      </c>
      <c r="AU141" s="36">
        <v>0</v>
      </c>
      <c r="AV141" s="36">
        <v>0</v>
      </c>
      <c r="AW141" s="36">
        <v>0</v>
      </c>
      <c r="AX141" s="36">
        <v>0</v>
      </c>
      <c r="AY141" s="36">
        <v>0</v>
      </c>
      <c r="AZ141" s="36">
        <v>0</v>
      </c>
    </row>
    <row r="142" s="24" customFormat="1" ht="21" customHeight="1" spans="1:52">
      <c r="A142" s="42"/>
      <c r="B142" s="43"/>
      <c r="C142" s="42"/>
      <c r="D142" s="37" t="s">
        <v>37</v>
      </c>
      <c r="E142" s="38"/>
      <c r="F142" s="38"/>
      <c r="G142" s="38"/>
      <c r="H142" s="44">
        <v>1.5</v>
      </c>
      <c r="I142" s="38"/>
      <c r="J142" s="39">
        <v>9.5</v>
      </c>
      <c r="K142" s="39"/>
      <c r="L142" s="44">
        <v>1.5</v>
      </c>
      <c r="M142" s="38"/>
      <c r="N142" s="38"/>
      <c r="O142" s="44">
        <v>1.5</v>
      </c>
      <c r="P142" s="44">
        <v>1.5</v>
      </c>
      <c r="Q142" s="39">
        <v>9.5</v>
      </c>
      <c r="R142" s="39">
        <v>3.5</v>
      </c>
      <c r="S142" s="44">
        <v>1.5</v>
      </c>
      <c r="T142" s="44">
        <v>1.5</v>
      </c>
      <c r="U142" s="38"/>
      <c r="V142" s="38"/>
      <c r="W142" s="40">
        <v>8</v>
      </c>
      <c r="X142" s="39"/>
      <c r="Y142" s="39"/>
      <c r="Z142" s="38"/>
      <c r="AA142" s="38"/>
      <c r="AB142" s="44">
        <v>1.5</v>
      </c>
      <c r="AC142" s="44">
        <v>1.5</v>
      </c>
      <c r="AD142" s="38"/>
      <c r="AE142" s="39">
        <v>8</v>
      </c>
      <c r="AF142" s="39"/>
      <c r="AG142" s="44">
        <v>1.5</v>
      </c>
      <c r="AH142" s="38"/>
      <c r="AI142" s="37">
        <v>16</v>
      </c>
      <c r="AJ142" s="43"/>
      <c r="AK142" s="43"/>
      <c r="AL142" s="43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</row>
    <row r="143" s="24" customFormat="1" ht="21" customHeight="1" spans="1:52">
      <c r="A143" s="36">
        <v>70</v>
      </c>
      <c r="B143" s="35" t="s">
        <v>32</v>
      </c>
      <c r="C143" s="36" t="s">
        <v>138</v>
      </c>
      <c r="D143" s="37" t="s">
        <v>34</v>
      </c>
      <c r="E143" s="44" t="s">
        <v>39</v>
      </c>
      <c r="F143" s="44" t="s">
        <v>39</v>
      </c>
      <c r="G143" s="44" t="s">
        <v>39</v>
      </c>
      <c r="H143" s="44" t="s">
        <v>39</v>
      </c>
      <c r="I143" s="44" t="s">
        <v>35</v>
      </c>
      <c r="J143" s="39"/>
      <c r="K143" s="39" t="s">
        <v>36</v>
      </c>
      <c r="L143" s="44" t="s">
        <v>35</v>
      </c>
      <c r="M143" s="44" t="s">
        <v>35</v>
      </c>
      <c r="N143" s="44" t="s">
        <v>35</v>
      </c>
      <c r="O143" s="44" t="s">
        <v>39</v>
      </c>
      <c r="P143" s="44" t="s">
        <v>39</v>
      </c>
      <c r="Q143" s="39" t="s">
        <v>39</v>
      </c>
      <c r="R143" s="39" t="s">
        <v>36</v>
      </c>
      <c r="S143" s="38" t="s">
        <v>39</v>
      </c>
      <c r="T143" s="38" t="s">
        <v>39</v>
      </c>
      <c r="U143" s="38" t="s">
        <v>39</v>
      </c>
      <c r="V143" s="38" t="s">
        <v>39</v>
      </c>
      <c r="W143" s="40" t="s">
        <v>36</v>
      </c>
      <c r="X143" s="39" t="s">
        <v>36</v>
      </c>
      <c r="Y143" s="39" t="s">
        <v>36</v>
      </c>
      <c r="Z143" s="44" t="s">
        <v>35</v>
      </c>
      <c r="AA143" s="44" t="s">
        <v>35</v>
      </c>
      <c r="AB143" s="38" t="s">
        <v>39</v>
      </c>
      <c r="AC143" s="38" t="s">
        <v>39</v>
      </c>
      <c r="AD143" s="38" t="s">
        <v>39</v>
      </c>
      <c r="AE143" s="39" t="s">
        <v>39</v>
      </c>
      <c r="AF143" s="39" t="s">
        <v>39</v>
      </c>
      <c r="AG143" s="38" t="s">
        <v>39</v>
      </c>
      <c r="AH143" s="38" t="s">
        <v>39</v>
      </c>
      <c r="AI143" s="37">
        <v>6</v>
      </c>
      <c r="AJ143" s="35">
        <f t="shared" ref="AJ143:AJ147" si="137">AI143+AI144</f>
        <v>9</v>
      </c>
      <c r="AK143" s="35">
        <v>18</v>
      </c>
      <c r="AL143" s="35">
        <f t="shared" ref="AL143:AL147" si="138">E144+F144+G144+H144+I144+L144+M144+N144+O144+P144+S144+T144+U144+V144+Z144+AA144+AB144+AC144+AD144+AG144+AH144</f>
        <v>25.5</v>
      </c>
      <c r="AM143" s="36">
        <f t="shared" ref="AM143:AM147" si="139">J144+K144+Q144+R144+X144+Y144+AE144+AF144</f>
        <v>34</v>
      </c>
      <c r="AN143" s="36">
        <f t="shared" ref="AN143:AN147" si="140">W144</f>
        <v>0</v>
      </c>
      <c r="AO143" s="36">
        <f t="shared" ref="AO143:AO147" si="141">21*8</f>
        <v>168</v>
      </c>
      <c r="AP143" s="36">
        <f t="shared" ref="AP143:AP147" si="142">AL143+AM143+AN143+AO143-AQ143-AS143-AT143-AV143-AW143-AX143-AY143-AZ143-AU143</f>
        <v>227.5</v>
      </c>
      <c r="AQ143" s="36">
        <v>0</v>
      </c>
      <c r="AR143" s="36">
        <v>4.5</v>
      </c>
      <c r="AS143" s="36">
        <v>0</v>
      </c>
      <c r="AT143" s="36">
        <v>0</v>
      </c>
      <c r="AU143" s="36">
        <v>0</v>
      </c>
      <c r="AV143" s="36">
        <v>0</v>
      </c>
      <c r="AW143" s="36">
        <v>0</v>
      </c>
      <c r="AX143" s="36">
        <v>0</v>
      </c>
      <c r="AY143" s="36">
        <v>0</v>
      </c>
      <c r="AZ143" s="36">
        <v>0</v>
      </c>
    </row>
    <row r="144" s="24" customFormat="1" ht="21" customHeight="1" spans="1:52">
      <c r="A144" s="42"/>
      <c r="B144" s="43"/>
      <c r="C144" s="42"/>
      <c r="D144" s="37" t="s">
        <v>37</v>
      </c>
      <c r="E144" s="38"/>
      <c r="F144" s="38"/>
      <c r="G144" s="38"/>
      <c r="H144" s="38"/>
      <c r="I144" s="38"/>
      <c r="J144" s="39">
        <v>6.5</v>
      </c>
      <c r="K144" s="39"/>
      <c r="L144" s="44">
        <v>1.5</v>
      </c>
      <c r="M144" s="44">
        <v>1.5</v>
      </c>
      <c r="N144" s="38">
        <v>3</v>
      </c>
      <c r="O144" s="38"/>
      <c r="P144" s="38"/>
      <c r="Q144" s="39">
        <v>6</v>
      </c>
      <c r="R144" s="39"/>
      <c r="S144" s="38"/>
      <c r="T144" s="38">
        <v>2.5</v>
      </c>
      <c r="U144" s="38"/>
      <c r="V144" s="38"/>
      <c r="W144" s="40"/>
      <c r="X144" s="39"/>
      <c r="Y144" s="39"/>
      <c r="Z144" s="38">
        <v>1.5</v>
      </c>
      <c r="AA144" s="38"/>
      <c r="AB144" s="38"/>
      <c r="AC144" s="38">
        <v>3.5</v>
      </c>
      <c r="AD144" s="38">
        <v>6</v>
      </c>
      <c r="AE144" s="39">
        <v>7.5</v>
      </c>
      <c r="AF144" s="39">
        <v>14</v>
      </c>
      <c r="AG144" s="38">
        <v>3</v>
      </c>
      <c r="AH144" s="38">
        <v>3</v>
      </c>
      <c r="AI144" s="37">
        <v>3</v>
      </c>
      <c r="AJ144" s="43"/>
      <c r="AK144" s="43"/>
      <c r="AL144" s="43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</row>
    <row r="145" s="24" customFormat="1" ht="21" customHeight="1" spans="1:52">
      <c r="A145" s="36">
        <v>71</v>
      </c>
      <c r="B145" s="35" t="s">
        <v>139</v>
      </c>
      <c r="C145" s="36" t="s">
        <v>140</v>
      </c>
      <c r="D145" s="37" t="s">
        <v>34</v>
      </c>
      <c r="E145" s="44" t="s">
        <v>39</v>
      </c>
      <c r="F145" s="44" t="s">
        <v>39</v>
      </c>
      <c r="G145" s="44" t="s">
        <v>39</v>
      </c>
      <c r="H145" s="44" t="s">
        <v>39</v>
      </c>
      <c r="I145" s="44" t="s">
        <v>39</v>
      </c>
      <c r="J145" s="39" t="s">
        <v>39</v>
      </c>
      <c r="K145" s="39" t="s">
        <v>39</v>
      </c>
      <c r="L145" s="44" t="s">
        <v>39</v>
      </c>
      <c r="M145" s="44" t="s">
        <v>39</v>
      </c>
      <c r="N145" s="44" t="s">
        <v>39</v>
      </c>
      <c r="O145" s="44" t="s">
        <v>39</v>
      </c>
      <c r="P145" s="44" t="s">
        <v>39</v>
      </c>
      <c r="Q145" s="39" t="s">
        <v>39</v>
      </c>
      <c r="R145" s="39" t="s">
        <v>39</v>
      </c>
      <c r="S145" s="44" t="s">
        <v>39</v>
      </c>
      <c r="T145" s="44" t="s">
        <v>39</v>
      </c>
      <c r="U145" s="44" t="s">
        <v>39</v>
      </c>
      <c r="V145" s="44" t="s">
        <v>39</v>
      </c>
      <c r="W145" s="40" t="s">
        <v>39</v>
      </c>
      <c r="X145" s="39" t="s">
        <v>39</v>
      </c>
      <c r="Y145" s="39" t="s">
        <v>39</v>
      </c>
      <c r="Z145" s="44" t="s">
        <v>39</v>
      </c>
      <c r="AA145" s="44" t="s">
        <v>39</v>
      </c>
      <c r="AB145" s="44" t="s">
        <v>39</v>
      </c>
      <c r="AC145" s="44" t="s">
        <v>39</v>
      </c>
      <c r="AD145" s="44" t="s">
        <v>39</v>
      </c>
      <c r="AE145" s="39" t="s">
        <v>39</v>
      </c>
      <c r="AF145" s="39" t="s">
        <v>39</v>
      </c>
      <c r="AG145" s="44" t="s">
        <v>39</v>
      </c>
      <c r="AH145" s="44" t="s">
        <v>39</v>
      </c>
      <c r="AI145" s="37">
        <v>0</v>
      </c>
      <c r="AJ145" s="35">
        <f t="shared" si="137"/>
        <v>0</v>
      </c>
      <c r="AK145" s="35">
        <v>30</v>
      </c>
      <c r="AL145" s="35">
        <f t="shared" si="138"/>
        <v>0</v>
      </c>
      <c r="AM145" s="36">
        <f t="shared" si="139"/>
        <v>0</v>
      </c>
      <c r="AN145" s="36">
        <f t="shared" si="140"/>
        <v>0</v>
      </c>
      <c r="AO145" s="36">
        <f t="shared" si="141"/>
        <v>168</v>
      </c>
      <c r="AP145" s="36">
        <f t="shared" si="142"/>
        <v>168</v>
      </c>
      <c r="AQ145" s="36">
        <v>0</v>
      </c>
      <c r="AR145" s="36">
        <v>0</v>
      </c>
      <c r="AS145" s="36">
        <v>0</v>
      </c>
      <c r="AT145" s="36">
        <v>0</v>
      </c>
      <c r="AU145" s="36">
        <v>0</v>
      </c>
      <c r="AV145" s="36">
        <v>0</v>
      </c>
      <c r="AW145" s="36">
        <v>0</v>
      </c>
      <c r="AX145" s="36">
        <v>0</v>
      </c>
      <c r="AY145" s="36">
        <v>0</v>
      </c>
      <c r="AZ145" s="36">
        <v>0</v>
      </c>
    </row>
    <row r="146" s="24" customFormat="1" ht="21" customHeight="1" spans="1:52">
      <c r="A146" s="42"/>
      <c r="B146" s="43"/>
      <c r="C146" s="42"/>
      <c r="D146" s="37" t="s">
        <v>37</v>
      </c>
      <c r="E146" s="38"/>
      <c r="F146" s="38"/>
      <c r="G146" s="38"/>
      <c r="H146" s="38"/>
      <c r="I146" s="38"/>
      <c r="J146" s="39"/>
      <c r="K146" s="39"/>
      <c r="L146" s="38"/>
      <c r="M146" s="38"/>
      <c r="N146" s="38"/>
      <c r="O146" s="38"/>
      <c r="P146" s="38"/>
      <c r="Q146" s="39"/>
      <c r="R146" s="39"/>
      <c r="S146" s="38"/>
      <c r="T146" s="38"/>
      <c r="U146" s="38"/>
      <c r="V146" s="38"/>
      <c r="W146" s="40"/>
      <c r="X146" s="39"/>
      <c r="Y146" s="39"/>
      <c r="Z146" s="38"/>
      <c r="AA146" s="38"/>
      <c r="AB146" s="38"/>
      <c r="AC146" s="38"/>
      <c r="AD146" s="38"/>
      <c r="AE146" s="39"/>
      <c r="AF146" s="39"/>
      <c r="AG146" s="38"/>
      <c r="AH146" s="38"/>
      <c r="AI146" s="37">
        <v>0</v>
      </c>
      <c r="AJ146" s="43"/>
      <c r="AK146" s="43"/>
      <c r="AL146" s="43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</row>
    <row r="147" s="24" customFormat="1" ht="21" customHeight="1" spans="1:52">
      <c r="A147" s="36">
        <v>72</v>
      </c>
      <c r="B147" s="35" t="s">
        <v>32</v>
      </c>
      <c r="C147" s="36" t="s">
        <v>141</v>
      </c>
      <c r="D147" s="37" t="s">
        <v>34</v>
      </c>
      <c r="E147" s="44" t="s">
        <v>35</v>
      </c>
      <c r="F147" s="44" t="s">
        <v>35</v>
      </c>
      <c r="G147" s="44" t="s">
        <v>35</v>
      </c>
      <c r="H147" s="44" t="s">
        <v>35</v>
      </c>
      <c r="I147" s="44" t="s">
        <v>35</v>
      </c>
      <c r="J147" s="39" t="s">
        <v>36</v>
      </c>
      <c r="K147" s="39" t="s">
        <v>36</v>
      </c>
      <c r="L147" s="44" t="s">
        <v>35</v>
      </c>
      <c r="M147" s="44" t="s">
        <v>35</v>
      </c>
      <c r="N147" s="44" t="s">
        <v>35</v>
      </c>
      <c r="O147" s="44" t="s">
        <v>35</v>
      </c>
      <c r="P147" s="44" t="s">
        <v>35</v>
      </c>
      <c r="Q147" s="39"/>
      <c r="R147" s="39" t="s">
        <v>36</v>
      </c>
      <c r="S147" s="44" t="s">
        <v>35</v>
      </c>
      <c r="T147" s="44" t="s">
        <v>35</v>
      </c>
      <c r="U147" s="44" t="s">
        <v>35</v>
      </c>
      <c r="V147" s="44" t="s">
        <v>35</v>
      </c>
      <c r="W147" s="40"/>
      <c r="X147" s="39"/>
      <c r="Y147" s="39" t="s">
        <v>36</v>
      </c>
      <c r="Z147" s="44" t="s">
        <v>35</v>
      </c>
      <c r="AA147" s="44" t="s">
        <v>35</v>
      </c>
      <c r="AB147" s="44" t="s">
        <v>35</v>
      </c>
      <c r="AC147" s="44" t="s">
        <v>35</v>
      </c>
      <c r="AD147" s="44" t="s">
        <v>35</v>
      </c>
      <c r="AE147" s="39"/>
      <c r="AF147" s="39"/>
      <c r="AG147" s="44" t="s">
        <v>35</v>
      </c>
      <c r="AH147" s="44" t="s">
        <v>35</v>
      </c>
      <c r="AI147" s="37">
        <v>21</v>
      </c>
      <c r="AJ147" s="35">
        <f t="shared" si="137"/>
        <v>45</v>
      </c>
      <c r="AK147" s="35">
        <v>0</v>
      </c>
      <c r="AL147" s="35">
        <f t="shared" si="138"/>
        <v>45.5</v>
      </c>
      <c r="AM147" s="36">
        <f t="shared" si="139"/>
        <v>28</v>
      </c>
      <c r="AN147" s="36">
        <f t="shared" si="140"/>
        <v>8</v>
      </c>
      <c r="AO147" s="36">
        <f t="shared" si="141"/>
        <v>168</v>
      </c>
      <c r="AP147" s="36">
        <f t="shared" si="142"/>
        <v>249.5</v>
      </c>
      <c r="AQ147" s="36">
        <v>0</v>
      </c>
      <c r="AR147" s="36">
        <v>0</v>
      </c>
      <c r="AS147" s="36">
        <v>0</v>
      </c>
      <c r="AT147" s="36">
        <v>0</v>
      </c>
      <c r="AU147" s="36">
        <v>0</v>
      </c>
      <c r="AV147" s="36">
        <v>0</v>
      </c>
      <c r="AW147" s="36">
        <v>0</v>
      </c>
      <c r="AX147" s="36">
        <v>0</v>
      </c>
      <c r="AY147" s="36">
        <v>0</v>
      </c>
      <c r="AZ147" s="36">
        <v>0</v>
      </c>
    </row>
    <row r="148" s="24" customFormat="1" ht="21" customHeight="1" spans="1:52">
      <c r="A148" s="42"/>
      <c r="B148" s="43"/>
      <c r="C148" s="42"/>
      <c r="D148" s="37" t="s">
        <v>37</v>
      </c>
      <c r="E148" s="38">
        <v>3.5</v>
      </c>
      <c r="F148" s="38">
        <v>2.5</v>
      </c>
      <c r="G148" s="38">
        <v>2.5</v>
      </c>
      <c r="H148" s="38">
        <v>3</v>
      </c>
      <c r="I148" s="38"/>
      <c r="J148" s="39"/>
      <c r="K148" s="39"/>
      <c r="L148" s="38">
        <v>3</v>
      </c>
      <c r="M148" s="38">
        <v>2.5</v>
      </c>
      <c r="N148" s="38">
        <v>3</v>
      </c>
      <c r="O148" s="38">
        <v>2</v>
      </c>
      <c r="P148" s="38">
        <v>3</v>
      </c>
      <c r="Q148" s="39">
        <v>5.5</v>
      </c>
      <c r="R148" s="39"/>
      <c r="S148" s="38">
        <v>2.5</v>
      </c>
      <c r="T148" s="38">
        <v>2</v>
      </c>
      <c r="U148" s="38">
        <v>2</v>
      </c>
      <c r="V148" s="44">
        <v>1.5</v>
      </c>
      <c r="W148" s="40">
        <v>8</v>
      </c>
      <c r="X148" s="39">
        <v>7</v>
      </c>
      <c r="Y148" s="39"/>
      <c r="Z148" s="38">
        <v>2</v>
      </c>
      <c r="AA148" s="38">
        <v>2</v>
      </c>
      <c r="AB148" s="38">
        <v>2</v>
      </c>
      <c r="AC148" s="38">
        <v>2</v>
      </c>
      <c r="AD148" s="38"/>
      <c r="AE148" s="39">
        <v>8</v>
      </c>
      <c r="AF148" s="39">
        <v>7.5</v>
      </c>
      <c r="AG148" s="38">
        <v>2</v>
      </c>
      <c r="AH148" s="38">
        <v>2.5</v>
      </c>
      <c r="AI148" s="37">
        <v>24</v>
      </c>
      <c r="AJ148" s="43"/>
      <c r="AK148" s="43"/>
      <c r="AL148" s="43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</row>
    <row r="149" s="24" customFormat="1" ht="21" customHeight="1" spans="1:52">
      <c r="A149" s="36">
        <v>73</v>
      </c>
      <c r="B149" s="35" t="s">
        <v>32</v>
      </c>
      <c r="C149" s="36" t="s">
        <v>142</v>
      </c>
      <c r="D149" s="37" t="s">
        <v>34</v>
      </c>
      <c r="E149" s="44" t="s">
        <v>35</v>
      </c>
      <c r="F149" s="44" t="s">
        <v>35</v>
      </c>
      <c r="G149" s="44" t="s">
        <v>35</v>
      </c>
      <c r="H149" s="44" t="s">
        <v>35</v>
      </c>
      <c r="I149" s="44" t="s">
        <v>35</v>
      </c>
      <c r="J149" s="39"/>
      <c r="K149" s="39" t="s">
        <v>36</v>
      </c>
      <c r="L149" s="44" t="s">
        <v>35</v>
      </c>
      <c r="M149" s="44" t="s">
        <v>35</v>
      </c>
      <c r="N149" s="44" t="s">
        <v>35</v>
      </c>
      <c r="O149" s="44" t="s">
        <v>39</v>
      </c>
      <c r="P149" s="44" t="s">
        <v>39</v>
      </c>
      <c r="Q149" s="39"/>
      <c r="R149" s="39" t="s">
        <v>36</v>
      </c>
      <c r="S149" s="44" t="s">
        <v>35</v>
      </c>
      <c r="T149" s="44" t="s">
        <v>35</v>
      </c>
      <c r="U149" s="44" t="s">
        <v>39</v>
      </c>
      <c r="V149" s="44" t="s">
        <v>39</v>
      </c>
      <c r="W149" s="40" t="s">
        <v>36</v>
      </c>
      <c r="X149" s="39" t="s">
        <v>36</v>
      </c>
      <c r="Y149" s="39" t="s">
        <v>39</v>
      </c>
      <c r="Z149" s="44" t="s">
        <v>39</v>
      </c>
      <c r="AA149" s="44" t="s">
        <v>39</v>
      </c>
      <c r="AB149" s="44" t="s">
        <v>39</v>
      </c>
      <c r="AC149" s="44" t="s">
        <v>39</v>
      </c>
      <c r="AD149" s="44" t="s">
        <v>39</v>
      </c>
      <c r="AE149" s="39" t="s">
        <v>39</v>
      </c>
      <c r="AF149" s="39" t="s">
        <v>39</v>
      </c>
      <c r="AG149" s="44" t="s">
        <v>39</v>
      </c>
      <c r="AH149" s="44" t="s">
        <v>39</v>
      </c>
      <c r="AI149" s="37">
        <v>10</v>
      </c>
      <c r="AJ149" s="35">
        <f t="shared" ref="AJ149:AJ153" si="143">AI149+AI150</f>
        <v>22</v>
      </c>
      <c r="AK149" s="35">
        <v>14</v>
      </c>
      <c r="AL149" s="35">
        <f t="shared" ref="AL149:AL153" si="144">E150+F150+G150+H150+I150+L150+M150+N150+O150+P150+S150+T150+U150+V150+Z150+AA150+AB150+AC150+AD150+AG150+AH150</f>
        <v>84.5</v>
      </c>
      <c r="AM149" s="36">
        <f t="shared" ref="AM149:AM153" si="145">J150+K150+Q150+R150+X150+Y150+AE150+AF150</f>
        <v>41</v>
      </c>
      <c r="AN149" s="36">
        <f t="shared" ref="AN149:AN153" si="146">W150</f>
        <v>0</v>
      </c>
      <c r="AO149" s="36">
        <f t="shared" ref="AO149:AO153" si="147">21*8</f>
        <v>168</v>
      </c>
      <c r="AP149" s="36">
        <f t="shared" ref="AP149:AP153" si="148">AL149+AM149+AN149+AO149-AQ149-AS149-AT149-AV149-AW149-AX149-AY149-AZ149-AU149</f>
        <v>293.5</v>
      </c>
      <c r="AQ149" s="36">
        <v>0</v>
      </c>
      <c r="AR149" s="36">
        <v>24</v>
      </c>
      <c r="AS149" s="36">
        <v>0</v>
      </c>
      <c r="AT149" s="36">
        <v>0</v>
      </c>
      <c r="AU149" s="36">
        <v>0</v>
      </c>
      <c r="AV149" s="36">
        <v>0</v>
      </c>
      <c r="AW149" s="36">
        <v>0</v>
      </c>
      <c r="AX149" s="36">
        <v>0</v>
      </c>
      <c r="AY149" s="36">
        <v>0</v>
      </c>
      <c r="AZ149" s="36">
        <v>0</v>
      </c>
    </row>
    <row r="150" s="24" customFormat="1" ht="21" customHeight="1" spans="1:52">
      <c r="A150" s="42"/>
      <c r="B150" s="43"/>
      <c r="C150" s="42"/>
      <c r="D150" s="37" t="s">
        <v>37</v>
      </c>
      <c r="E150" s="38">
        <v>2.5</v>
      </c>
      <c r="F150" s="38">
        <v>2.5</v>
      </c>
      <c r="G150" s="38">
        <v>2.5</v>
      </c>
      <c r="H150" s="38">
        <v>3</v>
      </c>
      <c r="I150" s="38"/>
      <c r="J150" s="39">
        <v>9</v>
      </c>
      <c r="K150" s="39"/>
      <c r="L150" s="38">
        <v>5</v>
      </c>
      <c r="M150" s="38">
        <v>5.5</v>
      </c>
      <c r="N150" s="38">
        <v>5.5</v>
      </c>
      <c r="O150" s="38"/>
      <c r="P150" s="38">
        <v>2</v>
      </c>
      <c r="Q150" s="39">
        <v>7.5</v>
      </c>
      <c r="R150" s="39"/>
      <c r="S150" s="38">
        <v>5</v>
      </c>
      <c r="T150" s="38">
        <v>2</v>
      </c>
      <c r="U150" s="38"/>
      <c r="V150" s="38">
        <v>2.5</v>
      </c>
      <c r="W150" s="40"/>
      <c r="X150" s="39"/>
      <c r="Y150" s="39">
        <v>7</v>
      </c>
      <c r="Z150" s="38">
        <v>5.5</v>
      </c>
      <c r="AA150" s="38">
        <v>9.5</v>
      </c>
      <c r="AB150" s="38">
        <v>8</v>
      </c>
      <c r="AC150" s="38">
        <v>5</v>
      </c>
      <c r="AD150" s="38">
        <v>7</v>
      </c>
      <c r="AE150" s="39">
        <v>10.5</v>
      </c>
      <c r="AF150" s="39">
        <v>7</v>
      </c>
      <c r="AG150" s="38">
        <v>6</v>
      </c>
      <c r="AH150" s="38">
        <v>5.5</v>
      </c>
      <c r="AI150" s="37">
        <v>12</v>
      </c>
      <c r="AJ150" s="43"/>
      <c r="AK150" s="43"/>
      <c r="AL150" s="43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</row>
    <row r="151" s="24" customFormat="1" ht="21" customHeight="1" spans="1:52">
      <c r="A151" s="36">
        <v>74</v>
      </c>
      <c r="B151" s="35" t="s">
        <v>32</v>
      </c>
      <c r="C151" s="36" t="s">
        <v>143</v>
      </c>
      <c r="D151" s="37" t="s">
        <v>34</v>
      </c>
      <c r="E151" s="44" t="s">
        <v>35</v>
      </c>
      <c r="F151" s="44" t="s">
        <v>107</v>
      </c>
      <c r="G151" s="44" t="s">
        <v>35</v>
      </c>
      <c r="H151" s="44" t="s">
        <v>35</v>
      </c>
      <c r="I151" s="44" t="s">
        <v>35</v>
      </c>
      <c r="J151" s="39"/>
      <c r="K151" s="39"/>
      <c r="L151" s="44" t="s">
        <v>35</v>
      </c>
      <c r="M151" s="44" t="s">
        <v>35</v>
      </c>
      <c r="N151" s="44" t="s">
        <v>35</v>
      </c>
      <c r="O151" s="44" t="s">
        <v>35</v>
      </c>
      <c r="P151" s="44" t="s">
        <v>35</v>
      </c>
      <c r="Q151" s="39"/>
      <c r="R151" s="39"/>
      <c r="S151" s="44" t="s">
        <v>35</v>
      </c>
      <c r="T151" s="44" t="s">
        <v>35</v>
      </c>
      <c r="U151" s="44" t="s">
        <v>35</v>
      </c>
      <c r="V151" s="44" t="s">
        <v>35</v>
      </c>
      <c r="W151" s="40"/>
      <c r="X151" s="39"/>
      <c r="Y151" s="39"/>
      <c r="Z151" s="44" t="s">
        <v>35</v>
      </c>
      <c r="AA151" s="44" t="s">
        <v>35</v>
      </c>
      <c r="AB151" s="44" t="s">
        <v>35</v>
      </c>
      <c r="AC151" s="44" t="s">
        <v>35</v>
      </c>
      <c r="AD151" s="44" t="s">
        <v>54</v>
      </c>
      <c r="AE151" s="39" t="s">
        <v>36</v>
      </c>
      <c r="AF151" s="39" t="s">
        <v>36</v>
      </c>
      <c r="AG151" s="44" t="s">
        <v>35</v>
      </c>
      <c r="AH151" s="44" t="s">
        <v>35</v>
      </c>
      <c r="AI151" s="37">
        <v>19</v>
      </c>
      <c r="AJ151" s="35">
        <f t="shared" si="143"/>
        <v>50</v>
      </c>
      <c r="AK151" s="35">
        <v>0</v>
      </c>
      <c r="AL151" s="35">
        <f t="shared" si="144"/>
        <v>47.5</v>
      </c>
      <c r="AM151" s="36">
        <f t="shared" si="145"/>
        <v>52.5</v>
      </c>
      <c r="AN151" s="36">
        <f t="shared" si="146"/>
        <v>14.5</v>
      </c>
      <c r="AO151" s="36">
        <f t="shared" si="147"/>
        <v>168</v>
      </c>
      <c r="AP151" s="36">
        <f t="shared" si="148"/>
        <v>270</v>
      </c>
      <c r="AQ151" s="36">
        <v>12.5</v>
      </c>
      <c r="AR151" s="36">
        <f>62.5-AQ151</f>
        <v>50</v>
      </c>
      <c r="AS151" s="36">
        <v>0</v>
      </c>
      <c r="AT151" s="36">
        <v>0</v>
      </c>
      <c r="AU151" s="36">
        <v>0</v>
      </c>
      <c r="AV151" s="36">
        <v>0</v>
      </c>
      <c r="AW151" s="36">
        <v>0</v>
      </c>
      <c r="AX151" s="36">
        <v>0</v>
      </c>
      <c r="AY151" s="36">
        <v>0</v>
      </c>
      <c r="AZ151" s="36">
        <v>0</v>
      </c>
    </row>
    <row r="152" s="24" customFormat="1" ht="21" customHeight="1" spans="1:52">
      <c r="A152" s="42"/>
      <c r="B152" s="43"/>
      <c r="C152" s="42"/>
      <c r="D152" s="37" t="s">
        <v>37</v>
      </c>
      <c r="E152" s="38"/>
      <c r="F152" s="38"/>
      <c r="G152" s="44">
        <v>1.5</v>
      </c>
      <c r="H152" s="38">
        <v>2</v>
      </c>
      <c r="I152" s="38">
        <v>2.5</v>
      </c>
      <c r="J152" s="39">
        <v>11.5</v>
      </c>
      <c r="K152" s="39">
        <v>9</v>
      </c>
      <c r="L152" s="38">
        <v>4</v>
      </c>
      <c r="M152" s="44">
        <v>1.5</v>
      </c>
      <c r="N152" s="38">
        <v>5.5</v>
      </c>
      <c r="O152" s="44">
        <v>1.5</v>
      </c>
      <c r="P152" s="38"/>
      <c r="Q152" s="39">
        <v>4.5</v>
      </c>
      <c r="R152" s="39">
        <v>9</v>
      </c>
      <c r="S152" s="38">
        <v>2</v>
      </c>
      <c r="T152" s="44">
        <v>1.5</v>
      </c>
      <c r="U152" s="38">
        <v>5</v>
      </c>
      <c r="V152" s="38">
        <v>9</v>
      </c>
      <c r="W152" s="40">
        <v>14.5</v>
      </c>
      <c r="X152" s="39">
        <v>9</v>
      </c>
      <c r="Y152" s="39">
        <v>9.5</v>
      </c>
      <c r="Z152" s="38">
        <v>2</v>
      </c>
      <c r="AA152" s="38">
        <v>2.5</v>
      </c>
      <c r="AB152" s="38">
        <v>2.5</v>
      </c>
      <c r="AC152" s="38"/>
      <c r="AD152" s="38"/>
      <c r="AE152" s="39"/>
      <c r="AF152" s="39"/>
      <c r="AG152" s="38">
        <v>2</v>
      </c>
      <c r="AH152" s="38">
        <v>2.5</v>
      </c>
      <c r="AI152" s="37">
        <v>31</v>
      </c>
      <c r="AJ152" s="43"/>
      <c r="AK152" s="43"/>
      <c r="AL152" s="43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</row>
    <row r="153" s="24" customFormat="1" ht="21" customHeight="1" spans="1:52">
      <c r="A153" s="36">
        <v>75</v>
      </c>
      <c r="B153" s="35" t="s">
        <v>32</v>
      </c>
      <c r="C153" s="36" t="s">
        <v>144</v>
      </c>
      <c r="D153" s="37" t="s">
        <v>34</v>
      </c>
      <c r="E153" s="44" t="s">
        <v>35</v>
      </c>
      <c r="F153" s="44" t="s">
        <v>35</v>
      </c>
      <c r="G153" s="44" t="s">
        <v>49</v>
      </c>
      <c r="H153" s="44" t="s">
        <v>35</v>
      </c>
      <c r="I153" s="44" t="s">
        <v>35</v>
      </c>
      <c r="J153" s="39" t="s">
        <v>39</v>
      </c>
      <c r="K153" s="39" t="s">
        <v>39</v>
      </c>
      <c r="L153" s="44" t="s">
        <v>39</v>
      </c>
      <c r="M153" s="44" t="s">
        <v>39</v>
      </c>
      <c r="N153" s="44" t="s">
        <v>35</v>
      </c>
      <c r="O153" s="44" t="s">
        <v>42</v>
      </c>
      <c r="P153" s="44" t="s">
        <v>35</v>
      </c>
      <c r="Q153" s="39"/>
      <c r="R153" s="39"/>
      <c r="S153" s="44" t="s">
        <v>145</v>
      </c>
      <c r="T153" s="44" t="s">
        <v>145</v>
      </c>
      <c r="U153" s="44" t="s">
        <v>145</v>
      </c>
      <c r="V153" s="44" t="s">
        <v>145</v>
      </c>
      <c r="W153" s="40" t="s">
        <v>146</v>
      </c>
      <c r="X153" s="39" t="s">
        <v>146</v>
      </c>
      <c r="Y153" s="39" t="s">
        <v>146</v>
      </c>
      <c r="Z153" s="44" t="s">
        <v>146</v>
      </c>
      <c r="AA153" s="44" t="s">
        <v>146</v>
      </c>
      <c r="AB153" s="44" t="s">
        <v>146</v>
      </c>
      <c r="AC153" s="44" t="s">
        <v>146</v>
      </c>
      <c r="AD153" s="44" t="s">
        <v>146</v>
      </c>
      <c r="AE153" s="39" t="s">
        <v>146</v>
      </c>
      <c r="AF153" s="39" t="s">
        <v>146</v>
      </c>
      <c r="AG153" s="44" t="s">
        <v>146</v>
      </c>
      <c r="AH153" s="44" t="s">
        <v>146</v>
      </c>
      <c r="AI153" s="37">
        <v>7</v>
      </c>
      <c r="AJ153" s="35">
        <f t="shared" si="143"/>
        <v>14</v>
      </c>
      <c r="AK153" s="35">
        <v>4</v>
      </c>
      <c r="AL153" s="35">
        <f t="shared" si="144"/>
        <v>23</v>
      </c>
      <c r="AM153" s="36">
        <f t="shared" si="145"/>
        <v>34</v>
      </c>
      <c r="AN153" s="36">
        <f t="shared" si="146"/>
        <v>0</v>
      </c>
      <c r="AO153" s="36">
        <f t="shared" si="147"/>
        <v>168</v>
      </c>
      <c r="AP153" s="36">
        <f t="shared" si="148"/>
        <v>129</v>
      </c>
      <c r="AQ153" s="36">
        <v>0</v>
      </c>
      <c r="AR153" s="36">
        <v>0</v>
      </c>
      <c r="AS153" s="36">
        <v>0</v>
      </c>
      <c r="AT153" s="36">
        <v>8</v>
      </c>
      <c r="AU153" s="36">
        <v>0</v>
      </c>
      <c r="AV153" s="36">
        <v>88</v>
      </c>
      <c r="AW153" s="36">
        <v>0</v>
      </c>
      <c r="AX153" s="36">
        <v>0</v>
      </c>
      <c r="AY153" s="36">
        <v>0</v>
      </c>
      <c r="AZ153" s="36">
        <v>0</v>
      </c>
    </row>
    <row r="154" s="24" customFormat="1" ht="21" customHeight="1" spans="1:52">
      <c r="A154" s="42"/>
      <c r="B154" s="43"/>
      <c r="C154" s="42"/>
      <c r="D154" s="37" t="s">
        <v>37</v>
      </c>
      <c r="E154" s="38">
        <v>2</v>
      </c>
      <c r="F154" s="38">
        <v>2</v>
      </c>
      <c r="G154" s="38">
        <v>4.5</v>
      </c>
      <c r="H154" s="44">
        <v>1.5</v>
      </c>
      <c r="I154" s="38"/>
      <c r="J154" s="39">
        <v>10</v>
      </c>
      <c r="K154" s="39">
        <v>14</v>
      </c>
      <c r="L154" s="38">
        <v>9</v>
      </c>
      <c r="M154" s="38">
        <v>1</v>
      </c>
      <c r="N154" s="44">
        <v>1.5</v>
      </c>
      <c r="O154" s="38"/>
      <c r="P154" s="44">
        <v>1.5</v>
      </c>
      <c r="Q154" s="39">
        <v>3.5</v>
      </c>
      <c r="R154" s="39">
        <v>6.5</v>
      </c>
      <c r="S154" s="38"/>
      <c r="T154" s="38"/>
      <c r="U154" s="38"/>
      <c r="V154" s="38"/>
      <c r="W154" s="40"/>
      <c r="X154" s="39"/>
      <c r="Y154" s="39"/>
      <c r="Z154" s="38"/>
      <c r="AA154" s="38"/>
      <c r="AB154" s="38"/>
      <c r="AC154" s="38"/>
      <c r="AD154" s="38"/>
      <c r="AE154" s="39"/>
      <c r="AF154" s="39"/>
      <c r="AG154" s="38"/>
      <c r="AH154" s="38"/>
      <c r="AI154" s="37">
        <v>7</v>
      </c>
      <c r="AJ154" s="43"/>
      <c r="AK154" s="43"/>
      <c r="AL154" s="43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</row>
    <row r="155" s="24" customFormat="1" ht="21" customHeight="1" spans="1:52">
      <c r="A155" s="36">
        <v>76</v>
      </c>
      <c r="B155" s="35" t="s">
        <v>32</v>
      </c>
      <c r="C155" s="36" t="s">
        <v>147</v>
      </c>
      <c r="D155" s="37" t="s">
        <v>34</v>
      </c>
      <c r="E155" s="44" t="s">
        <v>35</v>
      </c>
      <c r="F155" s="44" t="s">
        <v>35</v>
      </c>
      <c r="G155" s="44" t="s">
        <v>35</v>
      </c>
      <c r="H155" s="44" t="s">
        <v>35</v>
      </c>
      <c r="I155" s="44" t="s">
        <v>148</v>
      </c>
      <c r="J155" s="39"/>
      <c r="K155" s="39"/>
      <c r="L155" s="44" t="s">
        <v>35</v>
      </c>
      <c r="M155" s="44" t="s">
        <v>35</v>
      </c>
      <c r="N155" s="44" t="s">
        <v>35</v>
      </c>
      <c r="O155" s="44" t="s">
        <v>35</v>
      </c>
      <c r="P155" s="44" t="s">
        <v>35</v>
      </c>
      <c r="Q155" s="39" t="s">
        <v>36</v>
      </c>
      <c r="R155" s="39"/>
      <c r="S155" s="44" t="s">
        <v>35</v>
      </c>
      <c r="T155" s="44" t="s">
        <v>35</v>
      </c>
      <c r="U155" s="44" t="s">
        <v>35</v>
      </c>
      <c r="V155" s="44" t="s">
        <v>35</v>
      </c>
      <c r="W155" s="40" t="s">
        <v>36</v>
      </c>
      <c r="X155" s="39"/>
      <c r="Y155" s="39"/>
      <c r="Z155" s="44" t="s">
        <v>35</v>
      </c>
      <c r="AA155" s="44" t="s">
        <v>35</v>
      </c>
      <c r="AB155" s="44" t="s">
        <v>35</v>
      </c>
      <c r="AC155" s="44" t="s">
        <v>35</v>
      </c>
      <c r="AD155" s="44" t="s">
        <v>35</v>
      </c>
      <c r="AE155" s="39" t="s">
        <v>36</v>
      </c>
      <c r="AF155" s="39"/>
      <c r="AG155" s="44" t="s">
        <v>35</v>
      </c>
      <c r="AH155" s="44" t="s">
        <v>35</v>
      </c>
      <c r="AI155" s="37">
        <v>20</v>
      </c>
      <c r="AJ155" s="35">
        <f t="shared" ref="AJ155:AJ159" si="149">AI155+AI156</f>
        <v>41</v>
      </c>
      <c r="AK155" s="35">
        <v>0</v>
      </c>
      <c r="AL155" s="35">
        <f t="shared" ref="AL155:AL159" si="150">E156+F156+G156+H156+I156+L156+M156+N156+O156+P156+S156+T156+U156+V156+Z156+AA156+AB156+AC156+AD156+AG156+AH156</f>
        <v>35.5</v>
      </c>
      <c r="AM155" s="36">
        <f t="shared" ref="AM155:AM159" si="151">J156+K156+Q156+R156+X156+Y156+AE156+AF156</f>
        <v>38</v>
      </c>
      <c r="AN155" s="36">
        <f t="shared" ref="AN155:AN159" si="152">W156</f>
        <v>0</v>
      </c>
      <c r="AO155" s="36">
        <f t="shared" ref="AO155:AO159" si="153">21*8</f>
        <v>168</v>
      </c>
      <c r="AP155" s="36">
        <f t="shared" ref="AP155:AP159" si="154">AL155+AM155+AN155+AO155-AQ155-AS155-AT155-AV155-AW155-AX155-AY155-AZ155-AU155</f>
        <v>235.5</v>
      </c>
      <c r="AQ155" s="36">
        <v>6</v>
      </c>
      <c r="AR155" s="36">
        <f>18.5-AQ155</f>
        <v>12.5</v>
      </c>
      <c r="AS155" s="36">
        <v>0</v>
      </c>
      <c r="AT155" s="36">
        <v>0</v>
      </c>
      <c r="AU155" s="36">
        <v>0</v>
      </c>
      <c r="AV155" s="36">
        <v>0</v>
      </c>
      <c r="AW155" s="36">
        <v>0</v>
      </c>
      <c r="AX155" s="36">
        <v>0</v>
      </c>
      <c r="AY155" s="36">
        <v>0</v>
      </c>
      <c r="AZ155" s="36">
        <v>0</v>
      </c>
    </row>
    <row r="156" s="24" customFormat="1" ht="21" customHeight="1" spans="1:52">
      <c r="A156" s="42"/>
      <c r="B156" s="43"/>
      <c r="C156" s="42"/>
      <c r="D156" s="37" t="s">
        <v>37</v>
      </c>
      <c r="E156" s="38">
        <v>3</v>
      </c>
      <c r="F156" s="38">
        <v>2.5</v>
      </c>
      <c r="G156" s="38">
        <v>2.5</v>
      </c>
      <c r="H156" s="38"/>
      <c r="I156" s="38">
        <v>2</v>
      </c>
      <c r="J156" s="39">
        <v>9</v>
      </c>
      <c r="K156" s="39">
        <v>7</v>
      </c>
      <c r="L156" s="38">
        <v>2.5</v>
      </c>
      <c r="M156" s="38">
        <v>4</v>
      </c>
      <c r="N156" s="44">
        <v>1.5</v>
      </c>
      <c r="O156" s="38"/>
      <c r="P156" s="38"/>
      <c r="Q156" s="39"/>
      <c r="R156" s="39">
        <v>4.5</v>
      </c>
      <c r="S156" s="44">
        <v>1.5</v>
      </c>
      <c r="T156" s="38">
        <v>2</v>
      </c>
      <c r="U156" s="38">
        <v>3</v>
      </c>
      <c r="V156" s="38"/>
      <c r="W156" s="40"/>
      <c r="X156" s="39">
        <v>5</v>
      </c>
      <c r="Y156" s="39">
        <v>4.5</v>
      </c>
      <c r="Z156" s="38"/>
      <c r="AA156" s="38">
        <v>2</v>
      </c>
      <c r="AB156" s="38">
        <v>3</v>
      </c>
      <c r="AC156" s="44">
        <v>1.5</v>
      </c>
      <c r="AD156" s="44">
        <v>1.5</v>
      </c>
      <c r="AE156" s="39"/>
      <c r="AF156" s="39">
        <v>8</v>
      </c>
      <c r="AG156" s="44">
        <v>1.5</v>
      </c>
      <c r="AH156" s="44">
        <v>1.5</v>
      </c>
      <c r="AI156" s="37">
        <v>21</v>
      </c>
      <c r="AJ156" s="43"/>
      <c r="AK156" s="43"/>
      <c r="AL156" s="43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</row>
    <row r="157" s="24" customFormat="1" ht="21" customHeight="1" spans="1:52">
      <c r="A157" s="36">
        <v>77</v>
      </c>
      <c r="B157" s="35" t="s">
        <v>32</v>
      </c>
      <c r="C157" s="36" t="s">
        <v>149</v>
      </c>
      <c r="D157" s="37" t="s">
        <v>34</v>
      </c>
      <c r="E157" s="44" t="s">
        <v>35</v>
      </c>
      <c r="F157" s="44" t="s">
        <v>35</v>
      </c>
      <c r="G157" s="44" t="s">
        <v>35</v>
      </c>
      <c r="H157" s="44" t="s">
        <v>35</v>
      </c>
      <c r="I157" s="44" t="s">
        <v>35</v>
      </c>
      <c r="J157" s="39"/>
      <c r="K157" s="39" t="s">
        <v>36</v>
      </c>
      <c r="L157" s="44" t="s">
        <v>35</v>
      </c>
      <c r="M157" s="44" t="s">
        <v>35</v>
      </c>
      <c r="N157" s="44" t="s">
        <v>150</v>
      </c>
      <c r="O157" s="44" t="s">
        <v>35</v>
      </c>
      <c r="P157" s="44" t="s">
        <v>35</v>
      </c>
      <c r="Q157" s="39" t="s">
        <v>36</v>
      </c>
      <c r="R157" s="39" t="s">
        <v>36</v>
      </c>
      <c r="S157" s="44" t="s">
        <v>35</v>
      </c>
      <c r="T157" s="44" t="s">
        <v>35</v>
      </c>
      <c r="U157" s="44" t="s">
        <v>35</v>
      </c>
      <c r="V157" s="44" t="s">
        <v>35</v>
      </c>
      <c r="W157" s="40" t="s">
        <v>36</v>
      </c>
      <c r="X157" s="39" t="s">
        <v>36</v>
      </c>
      <c r="Y157" s="39" t="s">
        <v>36</v>
      </c>
      <c r="Z157" s="44" t="s">
        <v>110</v>
      </c>
      <c r="AA157" s="44" t="s">
        <v>35</v>
      </c>
      <c r="AB157" s="44" t="s">
        <v>35</v>
      </c>
      <c r="AC157" s="44" t="s">
        <v>35</v>
      </c>
      <c r="AD157" s="44" t="s">
        <v>35</v>
      </c>
      <c r="AE157" s="39"/>
      <c r="AF157" s="39" t="s">
        <v>36</v>
      </c>
      <c r="AG157" s="44" t="s">
        <v>35</v>
      </c>
      <c r="AH157" s="44" t="s">
        <v>35</v>
      </c>
      <c r="AI157" s="37">
        <v>21</v>
      </c>
      <c r="AJ157" s="35">
        <f t="shared" si="149"/>
        <v>33</v>
      </c>
      <c r="AK157" s="35">
        <v>0</v>
      </c>
      <c r="AL157" s="35">
        <f t="shared" si="150"/>
        <v>21</v>
      </c>
      <c r="AM157" s="36">
        <f t="shared" si="151"/>
        <v>14</v>
      </c>
      <c r="AN157" s="36">
        <f t="shared" si="152"/>
        <v>0</v>
      </c>
      <c r="AO157" s="36">
        <f t="shared" si="153"/>
        <v>168</v>
      </c>
      <c r="AP157" s="36">
        <f t="shared" si="154"/>
        <v>198.5</v>
      </c>
      <c r="AQ157" s="36">
        <v>4.5</v>
      </c>
      <c r="AR157" s="36">
        <f>35-AQ157</f>
        <v>30.5</v>
      </c>
      <c r="AS157" s="36">
        <v>0</v>
      </c>
      <c r="AT157" s="36">
        <v>0</v>
      </c>
      <c r="AU157" s="36">
        <v>0</v>
      </c>
      <c r="AV157" s="36">
        <v>0</v>
      </c>
      <c r="AW157" s="36">
        <v>0</v>
      </c>
      <c r="AX157" s="36">
        <v>0</v>
      </c>
      <c r="AY157" s="36">
        <v>0</v>
      </c>
      <c r="AZ157" s="36">
        <v>0</v>
      </c>
    </row>
    <row r="158" s="24" customFormat="1" ht="21" customHeight="1" spans="1:52">
      <c r="A158" s="42"/>
      <c r="B158" s="43"/>
      <c r="C158" s="42"/>
      <c r="D158" s="37" t="s">
        <v>37</v>
      </c>
      <c r="E158" s="38">
        <v>3</v>
      </c>
      <c r="F158" s="38"/>
      <c r="G158" s="44">
        <v>1.5</v>
      </c>
      <c r="H158" s="38">
        <v>3.5</v>
      </c>
      <c r="I158" s="38"/>
      <c r="J158" s="39">
        <v>9.5</v>
      </c>
      <c r="K158" s="39"/>
      <c r="L158" s="38">
        <v>3</v>
      </c>
      <c r="M158" s="38"/>
      <c r="N158" s="38"/>
      <c r="O158" s="38"/>
      <c r="P158" s="38"/>
      <c r="Q158" s="39"/>
      <c r="R158" s="39"/>
      <c r="S158" s="44">
        <v>1.5</v>
      </c>
      <c r="T158" s="38"/>
      <c r="U158" s="38"/>
      <c r="V158" s="38"/>
      <c r="W158" s="40"/>
      <c r="X158" s="39"/>
      <c r="Y158" s="39"/>
      <c r="Z158" s="38">
        <v>3</v>
      </c>
      <c r="AA158" s="38"/>
      <c r="AB158" s="38"/>
      <c r="AC158" s="38">
        <v>3.5</v>
      </c>
      <c r="AD158" s="38"/>
      <c r="AE158" s="39">
        <v>4.5</v>
      </c>
      <c r="AF158" s="39"/>
      <c r="AG158" s="38">
        <v>2</v>
      </c>
      <c r="AH158" s="38"/>
      <c r="AI158" s="37">
        <v>12</v>
      </c>
      <c r="AJ158" s="43"/>
      <c r="AK158" s="43"/>
      <c r="AL158" s="43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</row>
    <row r="159" s="24" customFormat="1" ht="21" customHeight="1" spans="1:52">
      <c r="A159" s="36">
        <v>78</v>
      </c>
      <c r="B159" s="35" t="s">
        <v>40</v>
      </c>
      <c r="C159" s="36" t="s">
        <v>151</v>
      </c>
      <c r="D159" s="37" t="s">
        <v>34</v>
      </c>
      <c r="E159" s="44" t="s">
        <v>35</v>
      </c>
      <c r="F159" s="44" t="s">
        <v>35</v>
      </c>
      <c r="G159" s="44" t="s">
        <v>39</v>
      </c>
      <c r="H159" s="44" t="s">
        <v>39</v>
      </c>
      <c r="I159" s="44" t="s">
        <v>39</v>
      </c>
      <c r="J159" s="39"/>
      <c r="K159" s="39" t="s">
        <v>36</v>
      </c>
      <c r="L159" s="44" t="s">
        <v>39</v>
      </c>
      <c r="M159" s="44" t="s">
        <v>39</v>
      </c>
      <c r="N159" s="44" t="s">
        <v>39</v>
      </c>
      <c r="O159" s="44" t="s">
        <v>35</v>
      </c>
      <c r="P159" s="44" t="s">
        <v>35</v>
      </c>
      <c r="Q159" s="39"/>
      <c r="R159" s="39" t="s">
        <v>36</v>
      </c>
      <c r="S159" s="44" t="s">
        <v>35</v>
      </c>
      <c r="T159" s="44" t="s">
        <v>35</v>
      </c>
      <c r="U159" s="44" t="s">
        <v>35</v>
      </c>
      <c r="V159" s="44" t="s">
        <v>35</v>
      </c>
      <c r="W159" s="40"/>
      <c r="X159" s="39" t="s">
        <v>36</v>
      </c>
      <c r="Y159" s="39" t="s">
        <v>39</v>
      </c>
      <c r="Z159" s="44" t="s">
        <v>39</v>
      </c>
      <c r="AA159" s="44" t="s">
        <v>39</v>
      </c>
      <c r="AB159" s="44" t="s">
        <v>35</v>
      </c>
      <c r="AC159" s="44" t="s">
        <v>35</v>
      </c>
      <c r="AD159" s="44" t="s">
        <v>35</v>
      </c>
      <c r="AE159" s="39" t="s">
        <v>39</v>
      </c>
      <c r="AF159" s="39" t="s">
        <v>39</v>
      </c>
      <c r="AG159" s="44" t="s">
        <v>39</v>
      </c>
      <c r="AH159" s="44" t="s">
        <v>39</v>
      </c>
      <c r="AI159" s="37">
        <v>11</v>
      </c>
      <c r="AJ159" s="35">
        <f t="shared" si="149"/>
        <v>15</v>
      </c>
      <c r="AK159" s="35">
        <v>13</v>
      </c>
      <c r="AL159" s="35">
        <f t="shared" si="150"/>
        <v>7</v>
      </c>
      <c r="AM159" s="36">
        <f t="shared" si="151"/>
        <v>36.5</v>
      </c>
      <c r="AN159" s="36">
        <f t="shared" si="152"/>
        <v>4.5</v>
      </c>
      <c r="AO159" s="36">
        <f t="shared" si="153"/>
        <v>168</v>
      </c>
      <c r="AP159" s="36">
        <f t="shared" si="154"/>
        <v>216</v>
      </c>
      <c r="AQ159" s="36">
        <v>0</v>
      </c>
      <c r="AR159" s="36">
        <v>26</v>
      </c>
      <c r="AS159" s="36">
        <v>0</v>
      </c>
      <c r="AT159" s="36">
        <v>0</v>
      </c>
      <c r="AU159" s="36">
        <v>0</v>
      </c>
      <c r="AV159" s="36">
        <v>0</v>
      </c>
      <c r="AW159" s="36">
        <v>0</v>
      </c>
      <c r="AX159" s="36">
        <v>0</v>
      </c>
      <c r="AY159" s="36">
        <v>0</v>
      </c>
      <c r="AZ159" s="36">
        <v>0</v>
      </c>
    </row>
    <row r="160" s="24" customFormat="1" ht="21" customHeight="1" spans="1:52">
      <c r="A160" s="42"/>
      <c r="B160" s="43"/>
      <c r="C160" s="42"/>
      <c r="D160" s="37" t="s">
        <v>37</v>
      </c>
      <c r="E160" s="44">
        <v>1.5</v>
      </c>
      <c r="F160" s="38"/>
      <c r="G160" s="38"/>
      <c r="H160" s="38"/>
      <c r="I160" s="38"/>
      <c r="J160" s="39">
        <v>7</v>
      </c>
      <c r="K160" s="39"/>
      <c r="L160" s="38"/>
      <c r="M160" s="38"/>
      <c r="N160" s="38"/>
      <c r="O160" s="38"/>
      <c r="P160" s="38"/>
      <c r="Q160" s="39">
        <v>7</v>
      </c>
      <c r="R160" s="39"/>
      <c r="S160" s="44">
        <v>1.5</v>
      </c>
      <c r="T160" s="38">
        <v>1</v>
      </c>
      <c r="U160" s="38"/>
      <c r="V160" s="38"/>
      <c r="W160" s="40">
        <v>4.5</v>
      </c>
      <c r="X160" s="39"/>
      <c r="Y160" s="39">
        <v>7.5</v>
      </c>
      <c r="Z160" s="38">
        <v>3</v>
      </c>
      <c r="AA160" s="38"/>
      <c r="AB160" s="38"/>
      <c r="AC160" s="38"/>
      <c r="AD160" s="38"/>
      <c r="AE160" s="39">
        <v>7</v>
      </c>
      <c r="AF160" s="39">
        <v>8</v>
      </c>
      <c r="AG160" s="38"/>
      <c r="AH160" s="38"/>
      <c r="AI160" s="37">
        <v>4</v>
      </c>
      <c r="AJ160" s="43"/>
      <c r="AK160" s="43"/>
      <c r="AL160" s="43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</row>
    <row r="161" s="24" customFormat="1" ht="21" customHeight="1" spans="1:52">
      <c r="A161" s="36">
        <v>79</v>
      </c>
      <c r="B161" s="35" t="s">
        <v>32</v>
      </c>
      <c r="C161" s="36" t="s">
        <v>152</v>
      </c>
      <c r="D161" s="37" t="s">
        <v>34</v>
      </c>
      <c r="E161" s="44" t="s">
        <v>35</v>
      </c>
      <c r="F161" s="44" t="s">
        <v>35</v>
      </c>
      <c r="G161" s="44" t="s">
        <v>35</v>
      </c>
      <c r="H161" s="44" t="s">
        <v>35</v>
      </c>
      <c r="I161" s="44" t="s">
        <v>35</v>
      </c>
      <c r="J161" s="39" t="s">
        <v>36</v>
      </c>
      <c r="K161" s="39" t="s">
        <v>36</v>
      </c>
      <c r="L161" s="44" t="s">
        <v>35</v>
      </c>
      <c r="M161" s="44" t="s">
        <v>39</v>
      </c>
      <c r="N161" s="44" t="s">
        <v>39</v>
      </c>
      <c r="O161" s="44" t="s">
        <v>39</v>
      </c>
      <c r="P161" s="44" t="s">
        <v>35</v>
      </c>
      <c r="Q161" s="39" t="s">
        <v>36</v>
      </c>
      <c r="R161" s="39" t="s">
        <v>36</v>
      </c>
      <c r="S161" s="44" t="s">
        <v>35</v>
      </c>
      <c r="T161" s="44" t="s">
        <v>39</v>
      </c>
      <c r="U161" s="44" t="s">
        <v>39</v>
      </c>
      <c r="V161" s="44" t="s">
        <v>39</v>
      </c>
      <c r="W161" s="40" t="s">
        <v>36</v>
      </c>
      <c r="X161" s="39" t="s">
        <v>36</v>
      </c>
      <c r="Y161" s="39" t="s">
        <v>36</v>
      </c>
      <c r="Z161" s="44" t="s">
        <v>35</v>
      </c>
      <c r="AA161" s="44" t="s">
        <v>39</v>
      </c>
      <c r="AB161" s="44" t="s">
        <v>39</v>
      </c>
      <c r="AC161" s="44" t="s">
        <v>39</v>
      </c>
      <c r="AD161" s="44" t="s">
        <v>39</v>
      </c>
      <c r="AE161" s="39" t="s">
        <v>36</v>
      </c>
      <c r="AF161" s="39" t="s">
        <v>36</v>
      </c>
      <c r="AG161" s="44" t="s">
        <v>35</v>
      </c>
      <c r="AH161" s="44" t="s">
        <v>35</v>
      </c>
      <c r="AI161" s="37">
        <v>0</v>
      </c>
      <c r="AJ161" s="35">
        <f t="shared" ref="AJ161:AJ165" si="155">AI161+AI162</f>
        <v>0</v>
      </c>
      <c r="AK161" s="35">
        <v>10</v>
      </c>
      <c r="AL161" s="35">
        <f t="shared" ref="AL161:AL165" si="156">E162+F162+G162+H162+I162+L162+M162+N162+O162+P162+S162+T162+U162+V162+Z162+AA162+AB162+AC162+AD162+AG162+AH162</f>
        <v>0</v>
      </c>
      <c r="AM161" s="36">
        <f t="shared" ref="AM161:AM165" si="157">J162+K162+Q162+R162+X162+Y162+AE162+AF162</f>
        <v>0</v>
      </c>
      <c r="AN161" s="36">
        <f t="shared" ref="AN161:AN165" si="158">W162</f>
        <v>0</v>
      </c>
      <c r="AO161" s="36">
        <f t="shared" ref="AO161:AO165" si="159">21*8</f>
        <v>168</v>
      </c>
      <c r="AP161" s="36">
        <f t="shared" ref="AP161:AP165" si="160">AL161+AM161+AN161+AO161-AQ161-AS161-AT161-AV161-AW161-AX161-AY161-AZ161-AU161</f>
        <v>168</v>
      </c>
      <c r="AQ161" s="36">
        <v>0</v>
      </c>
      <c r="AR161" s="36">
        <v>0</v>
      </c>
      <c r="AS161" s="36">
        <v>0</v>
      </c>
      <c r="AT161" s="36">
        <v>0</v>
      </c>
      <c r="AU161" s="36">
        <v>0</v>
      </c>
      <c r="AV161" s="36">
        <v>0</v>
      </c>
      <c r="AW161" s="36">
        <v>0</v>
      </c>
      <c r="AX161" s="36">
        <v>0</v>
      </c>
      <c r="AY161" s="36">
        <v>0</v>
      </c>
      <c r="AZ161" s="36">
        <v>0</v>
      </c>
    </row>
    <row r="162" s="24" customFormat="1" ht="21" customHeight="1" spans="1:52">
      <c r="A162" s="42"/>
      <c r="B162" s="43"/>
      <c r="C162" s="42"/>
      <c r="D162" s="37" t="s">
        <v>37</v>
      </c>
      <c r="E162" s="38"/>
      <c r="F162" s="38"/>
      <c r="G162" s="38"/>
      <c r="H162" s="38"/>
      <c r="I162" s="38"/>
      <c r="J162" s="39"/>
      <c r="K162" s="39"/>
      <c r="L162" s="38"/>
      <c r="M162" s="38"/>
      <c r="N162" s="38"/>
      <c r="O162" s="38"/>
      <c r="P162" s="38"/>
      <c r="Q162" s="39"/>
      <c r="R162" s="39"/>
      <c r="S162" s="38"/>
      <c r="T162" s="38"/>
      <c r="U162" s="38"/>
      <c r="V162" s="38"/>
      <c r="W162" s="40"/>
      <c r="X162" s="39"/>
      <c r="Y162" s="39"/>
      <c r="Z162" s="38"/>
      <c r="AA162" s="38"/>
      <c r="AB162" s="38"/>
      <c r="AC162" s="38"/>
      <c r="AD162" s="38"/>
      <c r="AE162" s="39"/>
      <c r="AF162" s="39"/>
      <c r="AG162" s="38"/>
      <c r="AH162" s="38"/>
      <c r="AI162" s="37">
        <v>0</v>
      </c>
      <c r="AJ162" s="43"/>
      <c r="AK162" s="43"/>
      <c r="AL162" s="43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</row>
    <row r="163" s="24" customFormat="1" ht="21" customHeight="1" spans="1:52">
      <c r="A163" s="36">
        <v>80</v>
      </c>
      <c r="B163" s="35" t="s">
        <v>32</v>
      </c>
      <c r="C163" s="36" t="s">
        <v>153</v>
      </c>
      <c r="D163" s="37" t="s">
        <v>34</v>
      </c>
      <c r="E163" s="44" t="s">
        <v>35</v>
      </c>
      <c r="F163" s="44" t="s">
        <v>35</v>
      </c>
      <c r="G163" s="44" t="s">
        <v>35</v>
      </c>
      <c r="H163" s="44" t="s">
        <v>35</v>
      </c>
      <c r="I163" s="44" t="s">
        <v>35</v>
      </c>
      <c r="J163" s="39" t="s">
        <v>36</v>
      </c>
      <c r="K163" s="39"/>
      <c r="L163" s="44" t="s">
        <v>35</v>
      </c>
      <c r="M163" s="44" t="s">
        <v>35</v>
      </c>
      <c r="N163" s="44" t="s">
        <v>35</v>
      </c>
      <c r="O163" s="44" t="s">
        <v>50</v>
      </c>
      <c r="P163" s="44" t="s">
        <v>50</v>
      </c>
      <c r="Q163" s="39" t="s">
        <v>36</v>
      </c>
      <c r="R163" s="39" t="s">
        <v>36</v>
      </c>
      <c r="S163" s="44" t="s">
        <v>35</v>
      </c>
      <c r="T163" s="44" t="s">
        <v>35</v>
      </c>
      <c r="U163" s="44" t="s">
        <v>35</v>
      </c>
      <c r="V163" s="44" t="s">
        <v>35</v>
      </c>
      <c r="W163" s="40" t="s">
        <v>36</v>
      </c>
      <c r="X163" s="39" t="s">
        <v>36</v>
      </c>
      <c r="Y163" s="39" t="s">
        <v>36</v>
      </c>
      <c r="Z163" s="44" t="s">
        <v>39</v>
      </c>
      <c r="AA163" s="44" t="s">
        <v>39</v>
      </c>
      <c r="AB163" s="44" t="s">
        <v>35</v>
      </c>
      <c r="AC163" s="44" t="s">
        <v>35</v>
      </c>
      <c r="AD163" s="44" t="s">
        <v>35</v>
      </c>
      <c r="AE163" s="39"/>
      <c r="AF163" s="39" t="s">
        <v>39</v>
      </c>
      <c r="AG163" s="44" t="s">
        <v>39</v>
      </c>
      <c r="AH163" s="44" t="s">
        <v>39</v>
      </c>
      <c r="AI163" s="37">
        <v>15</v>
      </c>
      <c r="AJ163" s="35">
        <f t="shared" si="155"/>
        <v>31</v>
      </c>
      <c r="AK163" s="35">
        <v>5</v>
      </c>
      <c r="AL163" s="35">
        <f t="shared" si="156"/>
        <v>62</v>
      </c>
      <c r="AM163" s="36">
        <f t="shared" si="157"/>
        <v>21</v>
      </c>
      <c r="AN163" s="36">
        <f t="shared" si="158"/>
        <v>0</v>
      </c>
      <c r="AO163" s="36">
        <f t="shared" si="159"/>
        <v>168</v>
      </c>
      <c r="AP163" s="36">
        <f t="shared" si="160"/>
        <v>235</v>
      </c>
      <c r="AQ163" s="36">
        <v>0</v>
      </c>
      <c r="AR163" s="36">
        <v>0</v>
      </c>
      <c r="AS163" s="36">
        <v>0</v>
      </c>
      <c r="AT163" s="36">
        <v>16</v>
      </c>
      <c r="AU163" s="36">
        <v>0</v>
      </c>
      <c r="AV163" s="36">
        <v>0</v>
      </c>
      <c r="AW163" s="36">
        <v>0</v>
      </c>
      <c r="AX163" s="36">
        <v>0</v>
      </c>
      <c r="AY163" s="36">
        <v>0</v>
      </c>
      <c r="AZ163" s="36">
        <v>0</v>
      </c>
    </row>
    <row r="164" s="24" customFormat="1" ht="21" customHeight="1" spans="1:52">
      <c r="A164" s="42"/>
      <c r="B164" s="43"/>
      <c r="C164" s="42"/>
      <c r="D164" s="37" t="s">
        <v>37</v>
      </c>
      <c r="E164" s="38">
        <v>4</v>
      </c>
      <c r="F164" s="38">
        <v>3.5</v>
      </c>
      <c r="G164" s="38">
        <v>3</v>
      </c>
      <c r="H164" s="38">
        <v>1</v>
      </c>
      <c r="I164" s="38">
        <v>1.5</v>
      </c>
      <c r="J164" s="39"/>
      <c r="K164" s="39">
        <v>5.5</v>
      </c>
      <c r="L164" s="38">
        <v>5</v>
      </c>
      <c r="M164" s="38">
        <v>6</v>
      </c>
      <c r="N164" s="38">
        <v>5.5</v>
      </c>
      <c r="O164" s="38"/>
      <c r="P164" s="38"/>
      <c r="Q164" s="39"/>
      <c r="R164" s="39"/>
      <c r="S164" s="38">
        <v>4</v>
      </c>
      <c r="T164" s="38">
        <v>3.5</v>
      </c>
      <c r="U164" s="38">
        <v>3.5</v>
      </c>
      <c r="V164" s="38"/>
      <c r="W164" s="40"/>
      <c r="X164" s="39"/>
      <c r="Y164" s="39"/>
      <c r="Z164" s="38">
        <v>1.5</v>
      </c>
      <c r="AA164" s="38">
        <v>2.5</v>
      </c>
      <c r="AB164" s="38">
        <v>5</v>
      </c>
      <c r="AC164" s="38">
        <v>6</v>
      </c>
      <c r="AD164" s="38">
        <v>2</v>
      </c>
      <c r="AE164" s="39">
        <v>8</v>
      </c>
      <c r="AF164" s="39">
        <v>7.5</v>
      </c>
      <c r="AG164" s="38">
        <v>2</v>
      </c>
      <c r="AH164" s="38">
        <v>2.5</v>
      </c>
      <c r="AI164" s="37">
        <v>16</v>
      </c>
      <c r="AJ164" s="43"/>
      <c r="AK164" s="43"/>
      <c r="AL164" s="43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</row>
    <row r="165" s="24" customFormat="1" ht="21" customHeight="1" spans="1:52">
      <c r="A165" s="36">
        <v>81</v>
      </c>
      <c r="B165" s="35" t="s">
        <v>32</v>
      </c>
      <c r="C165" s="36" t="s">
        <v>154</v>
      </c>
      <c r="D165" s="37" t="s">
        <v>34</v>
      </c>
      <c r="E165" s="44" t="s">
        <v>35</v>
      </c>
      <c r="F165" s="44" t="s">
        <v>35</v>
      </c>
      <c r="G165" s="44" t="s">
        <v>35</v>
      </c>
      <c r="H165" s="44" t="s">
        <v>35</v>
      </c>
      <c r="I165" s="44" t="s">
        <v>35</v>
      </c>
      <c r="J165" s="39" t="s">
        <v>36</v>
      </c>
      <c r="K165" s="39" t="s">
        <v>36</v>
      </c>
      <c r="L165" s="44" t="s">
        <v>35</v>
      </c>
      <c r="M165" s="44" t="s">
        <v>35</v>
      </c>
      <c r="N165" s="44" t="s">
        <v>35</v>
      </c>
      <c r="O165" s="44" t="s">
        <v>35</v>
      </c>
      <c r="P165" s="44" t="s">
        <v>35</v>
      </c>
      <c r="Q165" s="39" t="s">
        <v>36</v>
      </c>
      <c r="R165" s="39" t="s">
        <v>36</v>
      </c>
      <c r="S165" s="44" t="s">
        <v>35</v>
      </c>
      <c r="T165" s="44" t="s">
        <v>35</v>
      </c>
      <c r="U165" s="44" t="s">
        <v>35</v>
      </c>
      <c r="V165" s="44" t="s">
        <v>35</v>
      </c>
      <c r="W165" s="40" t="s">
        <v>36</v>
      </c>
      <c r="X165" s="39" t="s">
        <v>36</v>
      </c>
      <c r="Y165" s="39" t="s">
        <v>36</v>
      </c>
      <c r="Z165" s="44" t="s">
        <v>35</v>
      </c>
      <c r="AA165" s="44" t="s">
        <v>35</v>
      </c>
      <c r="AB165" s="44" t="s">
        <v>35</v>
      </c>
      <c r="AC165" s="44" t="s">
        <v>35</v>
      </c>
      <c r="AD165" s="44" t="s">
        <v>35</v>
      </c>
      <c r="AE165" s="39"/>
      <c r="AF165" s="39" t="s">
        <v>36</v>
      </c>
      <c r="AG165" s="44" t="s">
        <v>35</v>
      </c>
      <c r="AH165" s="44" t="s">
        <v>35</v>
      </c>
      <c r="AI165" s="37">
        <v>21</v>
      </c>
      <c r="AJ165" s="35">
        <f t="shared" si="155"/>
        <v>23</v>
      </c>
      <c r="AK165" s="35">
        <v>0</v>
      </c>
      <c r="AL165" s="35">
        <f t="shared" si="156"/>
        <v>5</v>
      </c>
      <c r="AM165" s="36">
        <f t="shared" si="157"/>
        <v>5</v>
      </c>
      <c r="AN165" s="36">
        <f t="shared" si="158"/>
        <v>0</v>
      </c>
      <c r="AO165" s="36">
        <f t="shared" si="159"/>
        <v>168</v>
      </c>
      <c r="AP165" s="36">
        <f t="shared" si="160"/>
        <v>178</v>
      </c>
      <c r="AQ165" s="36">
        <v>0</v>
      </c>
      <c r="AR165" s="36">
        <v>35.5</v>
      </c>
      <c r="AS165" s="36">
        <v>0</v>
      </c>
      <c r="AT165" s="36">
        <v>0</v>
      </c>
      <c r="AU165" s="36">
        <v>0</v>
      </c>
      <c r="AV165" s="36">
        <v>0</v>
      </c>
      <c r="AW165" s="36">
        <v>0</v>
      </c>
      <c r="AX165" s="36">
        <v>0</v>
      </c>
      <c r="AY165" s="36">
        <v>0</v>
      </c>
      <c r="AZ165" s="36">
        <v>0</v>
      </c>
    </row>
    <row r="166" s="24" customFormat="1" ht="21" customHeight="1" spans="1:52">
      <c r="A166" s="42"/>
      <c r="B166" s="43"/>
      <c r="C166" s="42"/>
      <c r="D166" s="37" t="s">
        <v>37</v>
      </c>
      <c r="E166" s="38"/>
      <c r="F166" s="38"/>
      <c r="G166" s="38"/>
      <c r="H166" s="38"/>
      <c r="I166" s="38"/>
      <c r="J166" s="39"/>
      <c r="K166" s="39"/>
      <c r="L166" s="38"/>
      <c r="M166" s="38"/>
      <c r="N166" s="38"/>
      <c r="O166" s="38"/>
      <c r="P166" s="38"/>
      <c r="Q166" s="39"/>
      <c r="R166" s="39"/>
      <c r="S166" s="38"/>
      <c r="T166" s="38"/>
      <c r="U166" s="38"/>
      <c r="V166" s="38"/>
      <c r="W166" s="40"/>
      <c r="X166" s="39"/>
      <c r="Y166" s="39"/>
      <c r="Z166" s="38"/>
      <c r="AA166" s="38"/>
      <c r="AB166" s="38"/>
      <c r="AC166" s="38">
        <v>1</v>
      </c>
      <c r="AD166" s="38"/>
      <c r="AE166" s="39">
        <v>5</v>
      </c>
      <c r="AF166" s="39"/>
      <c r="AG166" s="38">
        <v>2.5</v>
      </c>
      <c r="AH166" s="38">
        <v>1.5</v>
      </c>
      <c r="AI166" s="37">
        <v>2</v>
      </c>
      <c r="AJ166" s="43"/>
      <c r="AK166" s="43"/>
      <c r="AL166" s="43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</row>
    <row r="167" s="24" customFormat="1" ht="21" customHeight="1" spans="1:52">
      <c r="A167" s="36">
        <v>82</v>
      </c>
      <c r="B167" s="35" t="s">
        <v>32</v>
      </c>
      <c r="C167" s="36" t="s">
        <v>155</v>
      </c>
      <c r="D167" s="37" t="s">
        <v>34</v>
      </c>
      <c r="E167" s="44" t="s">
        <v>39</v>
      </c>
      <c r="F167" s="44" t="s">
        <v>39</v>
      </c>
      <c r="G167" s="44" t="s">
        <v>35</v>
      </c>
      <c r="H167" s="44" t="s">
        <v>35</v>
      </c>
      <c r="I167" s="44" t="s">
        <v>35</v>
      </c>
      <c r="J167" s="39" t="s">
        <v>36</v>
      </c>
      <c r="K167" s="39" t="s">
        <v>36</v>
      </c>
      <c r="L167" s="44" t="s">
        <v>54</v>
      </c>
      <c r="M167" s="44" t="s">
        <v>35</v>
      </c>
      <c r="N167" s="44" t="s">
        <v>35</v>
      </c>
      <c r="O167" s="44" t="s">
        <v>35</v>
      </c>
      <c r="P167" s="44" t="s">
        <v>35</v>
      </c>
      <c r="Q167" s="39" t="s">
        <v>36</v>
      </c>
      <c r="R167" s="39" t="s">
        <v>36</v>
      </c>
      <c r="S167" s="44" t="s">
        <v>35</v>
      </c>
      <c r="T167" s="44" t="s">
        <v>35</v>
      </c>
      <c r="U167" s="44" t="s">
        <v>35</v>
      </c>
      <c r="V167" s="44" t="s">
        <v>35</v>
      </c>
      <c r="W167" s="40" t="s">
        <v>39</v>
      </c>
      <c r="X167" s="39" t="s">
        <v>36</v>
      </c>
      <c r="Y167" s="39" t="s">
        <v>36</v>
      </c>
      <c r="Z167" s="44" t="s">
        <v>35</v>
      </c>
      <c r="AA167" s="44" t="s">
        <v>35</v>
      </c>
      <c r="AB167" s="44" t="s">
        <v>35</v>
      </c>
      <c r="AC167" s="44" t="s">
        <v>35</v>
      </c>
      <c r="AD167" s="44" t="s">
        <v>35</v>
      </c>
      <c r="AE167" s="39" t="s">
        <v>36</v>
      </c>
      <c r="AF167" s="39" t="s">
        <v>36</v>
      </c>
      <c r="AG167" s="44" t="s">
        <v>35</v>
      </c>
      <c r="AH167" s="44" t="s">
        <v>35</v>
      </c>
      <c r="AI167" s="37">
        <v>18</v>
      </c>
      <c r="AJ167" s="35">
        <f t="shared" ref="AJ167:AJ171" si="161">AI167+AI168</f>
        <v>18</v>
      </c>
      <c r="AK167" s="35">
        <v>3</v>
      </c>
      <c r="AL167" s="35">
        <f t="shared" ref="AL167:AL171" si="162">E168+F168+G168+H168+I168+L168+M168+N168+O168+P168+S168+T168+U168+V168+Z168+AA168+AB168+AC168+AD168+AG168+AH168</f>
        <v>8</v>
      </c>
      <c r="AM167" s="36">
        <f t="shared" ref="AM167:AM171" si="163">J168+K168+Q168+R168+X168+Y168+AE168+AF168</f>
        <v>0</v>
      </c>
      <c r="AN167" s="36">
        <f t="shared" ref="AN167:AN171" si="164">W168</f>
        <v>7</v>
      </c>
      <c r="AO167" s="36">
        <f t="shared" ref="AO167:AO171" si="165">21*8</f>
        <v>168</v>
      </c>
      <c r="AP167" s="36">
        <f t="shared" ref="AP167:AP171" si="166">AL167+AM167+AN167+AO167-AQ167-AS167-AT167-AV167-AW167-AX167-AY167-AZ167-AU167</f>
        <v>175</v>
      </c>
      <c r="AQ167" s="36">
        <v>8</v>
      </c>
      <c r="AR167" s="36">
        <f>38.5-AQ167</f>
        <v>30.5</v>
      </c>
      <c r="AS167" s="36">
        <v>0</v>
      </c>
      <c r="AT167" s="36">
        <v>0</v>
      </c>
      <c r="AU167" s="36">
        <v>0</v>
      </c>
      <c r="AV167" s="36">
        <v>0</v>
      </c>
      <c r="AW167" s="36">
        <v>0</v>
      </c>
      <c r="AX167" s="36">
        <v>0</v>
      </c>
      <c r="AY167" s="36">
        <v>0</v>
      </c>
      <c r="AZ167" s="36">
        <v>0</v>
      </c>
    </row>
    <row r="168" s="24" customFormat="1" ht="21" customHeight="1" spans="1:52">
      <c r="A168" s="42"/>
      <c r="B168" s="43"/>
      <c r="C168" s="42"/>
      <c r="D168" s="37" t="s">
        <v>37</v>
      </c>
      <c r="E168" s="38">
        <v>2.5</v>
      </c>
      <c r="F168" s="38"/>
      <c r="G168" s="38"/>
      <c r="H168" s="38"/>
      <c r="I168" s="38">
        <v>1.5</v>
      </c>
      <c r="J168" s="39"/>
      <c r="K168" s="39"/>
      <c r="L168" s="38"/>
      <c r="M168" s="38"/>
      <c r="N168" s="38"/>
      <c r="O168" s="38"/>
      <c r="P168" s="38"/>
      <c r="Q168" s="39"/>
      <c r="R168" s="39"/>
      <c r="S168" s="38"/>
      <c r="T168" s="38"/>
      <c r="U168" s="38"/>
      <c r="V168" s="38"/>
      <c r="W168" s="40">
        <v>7</v>
      </c>
      <c r="X168" s="39"/>
      <c r="Y168" s="39"/>
      <c r="Z168" s="38">
        <v>1</v>
      </c>
      <c r="AA168" s="38">
        <v>1</v>
      </c>
      <c r="AB168" s="38"/>
      <c r="AC168" s="38"/>
      <c r="AD168" s="38">
        <v>1</v>
      </c>
      <c r="AE168" s="39"/>
      <c r="AF168" s="39"/>
      <c r="AG168" s="38">
        <v>1</v>
      </c>
      <c r="AH168" s="38"/>
      <c r="AI168" s="37">
        <v>0</v>
      </c>
      <c r="AJ168" s="43"/>
      <c r="AK168" s="43"/>
      <c r="AL168" s="43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</row>
    <row r="169" s="24" customFormat="1" ht="24" customHeight="1" spans="1:52">
      <c r="A169" s="36">
        <v>83</v>
      </c>
      <c r="B169" s="35" t="s">
        <v>32</v>
      </c>
      <c r="C169" s="36" t="s">
        <v>156</v>
      </c>
      <c r="D169" s="37" t="s">
        <v>34</v>
      </c>
      <c r="E169" s="44" t="s">
        <v>35</v>
      </c>
      <c r="F169" s="44" t="s">
        <v>49</v>
      </c>
      <c r="G169" s="44" t="s">
        <v>35</v>
      </c>
      <c r="H169" s="44" t="s">
        <v>35</v>
      </c>
      <c r="I169" s="44" t="s">
        <v>35</v>
      </c>
      <c r="J169" s="39" t="s">
        <v>36</v>
      </c>
      <c r="K169" s="39" t="s">
        <v>36</v>
      </c>
      <c r="L169" s="44" t="s">
        <v>35</v>
      </c>
      <c r="M169" s="44" t="s">
        <v>35</v>
      </c>
      <c r="N169" s="44" t="s">
        <v>35</v>
      </c>
      <c r="O169" s="44" t="s">
        <v>35</v>
      </c>
      <c r="P169" s="44" t="s">
        <v>35</v>
      </c>
      <c r="Q169" s="39"/>
      <c r="R169" s="39" t="s">
        <v>36</v>
      </c>
      <c r="S169" s="44" t="s">
        <v>35</v>
      </c>
      <c r="T169" s="44" t="s">
        <v>35</v>
      </c>
      <c r="U169" s="44" t="s">
        <v>35</v>
      </c>
      <c r="V169" s="44" t="s">
        <v>35</v>
      </c>
      <c r="W169" s="40" t="s">
        <v>36</v>
      </c>
      <c r="X169" s="39" t="s">
        <v>36</v>
      </c>
      <c r="Y169" s="39" t="s">
        <v>36</v>
      </c>
      <c r="Z169" s="44" t="s">
        <v>35</v>
      </c>
      <c r="AA169" s="44" t="s">
        <v>35</v>
      </c>
      <c r="AB169" s="44" t="s">
        <v>35</v>
      </c>
      <c r="AC169" s="44" t="s">
        <v>35</v>
      </c>
      <c r="AD169" s="44" t="s">
        <v>35</v>
      </c>
      <c r="AE169" s="39" t="s">
        <v>36</v>
      </c>
      <c r="AF169" s="39" t="s">
        <v>36</v>
      </c>
      <c r="AG169" s="44" t="s">
        <v>35</v>
      </c>
      <c r="AH169" s="44" t="s">
        <v>49</v>
      </c>
      <c r="AI169" s="37">
        <v>19</v>
      </c>
      <c r="AJ169" s="35">
        <f t="shared" si="161"/>
        <v>24</v>
      </c>
      <c r="AK169" s="35">
        <v>0</v>
      </c>
      <c r="AL169" s="35">
        <f t="shared" si="162"/>
        <v>11.5</v>
      </c>
      <c r="AM169" s="36">
        <f t="shared" si="163"/>
        <v>7</v>
      </c>
      <c r="AN169" s="36">
        <f t="shared" si="164"/>
        <v>0</v>
      </c>
      <c r="AO169" s="36">
        <f t="shared" si="165"/>
        <v>168</v>
      </c>
      <c r="AP169" s="36">
        <f t="shared" si="166"/>
        <v>179.5</v>
      </c>
      <c r="AQ169" s="36">
        <v>0</v>
      </c>
      <c r="AR169" s="36">
        <v>0</v>
      </c>
      <c r="AS169" s="36">
        <v>0</v>
      </c>
      <c r="AT169" s="36">
        <v>7</v>
      </c>
      <c r="AU169" s="36">
        <v>0</v>
      </c>
      <c r="AV169" s="36">
        <v>0</v>
      </c>
      <c r="AW169" s="36">
        <v>0</v>
      </c>
      <c r="AX169" s="36">
        <v>0</v>
      </c>
      <c r="AY169" s="36">
        <v>0</v>
      </c>
      <c r="AZ169" s="36">
        <v>0</v>
      </c>
    </row>
    <row r="170" s="24" customFormat="1" ht="21" customHeight="1" spans="1:52">
      <c r="A170" s="42"/>
      <c r="B170" s="43"/>
      <c r="C170" s="42"/>
      <c r="D170" s="37" t="s">
        <v>37</v>
      </c>
      <c r="E170" s="38"/>
      <c r="F170" s="38"/>
      <c r="G170" s="38"/>
      <c r="H170" s="38"/>
      <c r="I170" s="38"/>
      <c r="J170" s="39"/>
      <c r="K170" s="39"/>
      <c r="L170" s="38"/>
      <c r="M170" s="38">
        <v>1</v>
      </c>
      <c r="N170" s="38"/>
      <c r="O170" s="38"/>
      <c r="P170" s="38">
        <v>1.5</v>
      </c>
      <c r="Q170" s="39">
        <v>7</v>
      </c>
      <c r="R170" s="39"/>
      <c r="S170" s="38">
        <v>1.5</v>
      </c>
      <c r="T170" s="38"/>
      <c r="U170" s="38">
        <v>1.5</v>
      </c>
      <c r="V170" s="38"/>
      <c r="W170" s="40"/>
      <c r="X170" s="39"/>
      <c r="Y170" s="39"/>
      <c r="Z170" s="44">
        <v>1.5</v>
      </c>
      <c r="AA170" s="44">
        <v>1.5</v>
      </c>
      <c r="AB170" s="38"/>
      <c r="AC170" s="44">
        <v>1.5</v>
      </c>
      <c r="AD170" s="38"/>
      <c r="AE170" s="39"/>
      <c r="AF170" s="39"/>
      <c r="AG170" s="44">
        <v>1.5</v>
      </c>
      <c r="AH170" s="38"/>
      <c r="AI170" s="37">
        <v>5</v>
      </c>
      <c r="AJ170" s="43"/>
      <c r="AK170" s="43"/>
      <c r="AL170" s="43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</row>
    <row r="171" s="24" customFormat="1" ht="21" customHeight="1" spans="1:52">
      <c r="A171" s="36">
        <v>84</v>
      </c>
      <c r="B171" s="35" t="s">
        <v>32</v>
      </c>
      <c r="C171" s="36" t="s">
        <v>157</v>
      </c>
      <c r="D171" s="37" t="s">
        <v>34</v>
      </c>
      <c r="E171" s="44" t="s">
        <v>35</v>
      </c>
      <c r="F171" s="44" t="s">
        <v>35</v>
      </c>
      <c r="G171" s="44" t="s">
        <v>35</v>
      </c>
      <c r="H171" s="44" t="s">
        <v>35</v>
      </c>
      <c r="I171" s="44" t="s">
        <v>39</v>
      </c>
      <c r="J171" s="39" t="s">
        <v>39</v>
      </c>
      <c r="K171" s="39" t="s">
        <v>36</v>
      </c>
      <c r="L171" s="44" t="s">
        <v>35</v>
      </c>
      <c r="M171" s="44" t="s">
        <v>35</v>
      </c>
      <c r="N171" s="44" t="s">
        <v>35</v>
      </c>
      <c r="O171" s="44" t="s">
        <v>35</v>
      </c>
      <c r="P171" s="44" t="s">
        <v>35</v>
      </c>
      <c r="Q171" s="39" t="s">
        <v>36</v>
      </c>
      <c r="R171" s="39" t="s">
        <v>36</v>
      </c>
      <c r="S171" s="44" t="s">
        <v>35</v>
      </c>
      <c r="T171" s="44" t="s">
        <v>35</v>
      </c>
      <c r="U171" s="44" t="s">
        <v>35</v>
      </c>
      <c r="V171" s="44" t="s">
        <v>35</v>
      </c>
      <c r="W171" s="40" t="s">
        <v>36</v>
      </c>
      <c r="X171" s="39" t="s">
        <v>36</v>
      </c>
      <c r="Y171" s="39" t="s">
        <v>36</v>
      </c>
      <c r="Z171" s="44" t="s">
        <v>35</v>
      </c>
      <c r="AA171" s="44" t="s">
        <v>35</v>
      </c>
      <c r="AB171" s="44" t="s">
        <v>35</v>
      </c>
      <c r="AC171" s="44" t="s">
        <v>129</v>
      </c>
      <c r="AD171" s="44" t="s">
        <v>129</v>
      </c>
      <c r="AE171" s="39" t="s">
        <v>36</v>
      </c>
      <c r="AF171" s="39" t="s">
        <v>36</v>
      </c>
      <c r="AG171" s="44" t="s">
        <v>129</v>
      </c>
      <c r="AH171" s="44" t="s">
        <v>35</v>
      </c>
      <c r="AI171" s="37">
        <v>17</v>
      </c>
      <c r="AJ171" s="35">
        <f t="shared" si="161"/>
        <v>38</v>
      </c>
      <c r="AK171" s="35">
        <v>2</v>
      </c>
      <c r="AL171" s="35">
        <f t="shared" si="162"/>
        <v>89.5</v>
      </c>
      <c r="AM171" s="36">
        <f t="shared" si="163"/>
        <v>8</v>
      </c>
      <c r="AN171" s="36">
        <f t="shared" si="164"/>
        <v>0</v>
      </c>
      <c r="AO171" s="36">
        <f t="shared" si="165"/>
        <v>168</v>
      </c>
      <c r="AP171" s="36">
        <f t="shared" si="166"/>
        <v>255</v>
      </c>
      <c r="AQ171" s="36">
        <v>10.5</v>
      </c>
      <c r="AR171" s="36">
        <f>112-AQ171</f>
        <v>101.5</v>
      </c>
      <c r="AS171" s="36">
        <v>0</v>
      </c>
      <c r="AT171" s="36">
        <v>0</v>
      </c>
      <c r="AU171" s="36">
        <v>0</v>
      </c>
      <c r="AV171" s="36">
        <v>0</v>
      </c>
      <c r="AW171" s="36">
        <v>0</v>
      </c>
      <c r="AX171" s="36">
        <v>0</v>
      </c>
      <c r="AY171" s="36">
        <v>0</v>
      </c>
      <c r="AZ171" s="36">
        <v>0</v>
      </c>
    </row>
    <row r="172" s="24" customFormat="1" ht="21" customHeight="1" spans="1:52">
      <c r="A172" s="42"/>
      <c r="B172" s="43"/>
      <c r="C172" s="42"/>
      <c r="D172" s="37" t="s">
        <v>37</v>
      </c>
      <c r="E172" s="38">
        <v>4</v>
      </c>
      <c r="F172" s="38">
        <v>3</v>
      </c>
      <c r="G172" s="38">
        <v>5.5</v>
      </c>
      <c r="H172" s="38">
        <v>5</v>
      </c>
      <c r="I172" s="38">
        <v>2.5</v>
      </c>
      <c r="J172" s="39">
        <v>8</v>
      </c>
      <c r="K172" s="39"/>
      <c r="L172" s="38">
        <v>5</v>
      </c>
      <c r="M172" s="38">
        <v>3.5</v>
      </c>
      <c r="N172" s="38">
        <v>5</v>
      </c>
      <c r="O172" s="38">
        <v>4.5</v>
      </c>
      <c r="P172" s="38">
        <v>7</v>
      </c>
      <c r="Q172" s="39"/>
      <c r="R172" s="39"/>
      <c r="S172" s="38">
        <v>5</v>
      </c>
      <c r="T172" s="38">
        <v>4</v>
      </c>
      <c r="U172" s="38">
        <v>6.5</v>
      </c>
      <c r="V172" s="38">
        <v>5</v>
      </c>
      <c r="W172" s="40"/>
      <c r="X172" s="39"/>
      <c r="Y172" s="39"/>
      <c r="Z172" s="38">
        <v>4</v>
      </c>
      <c r="AA172" s="38">
        <v>5</v>
      </c>
      <c r="AB172" s="38">
        <v>4.5</v>
      </c>
      <c r="AC172" s="38"/>
      <c r="AD172" s="38">
        <v>5</v>
      </c>
      <c r="AE172" s="39"/>
      <c r="AF172" s="39"/>
      <c r="AG172" s="38">
        <v>2.5</v>
      </c>
      <c r="AH172" s="38">
        <v>3</v>
      </c>
      <c r="AI172" s="37">
        <v>21</v>
      </c>
      <c r="AJ172" s="43"/>
      <c r="AK172" s="43"/>
      <c r="AL172" s="43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</row>
    <row r="173" s="24" customFormat="1" ht="21" customHeight="1" spans="1:52">
      <c r="A173" s="36">
        <v>85</v>
      </c>
      <c r="B173" s="35" t="s">
        <v>32</v>
      </c>
      <c r="C173" s="36" t="s">
        <v>158</v>
      </c>
      <c r="D173" s="61" t="s">
        <v>34</v>
      </c>
      <c r="E173" s="44" t="s">
        <v>39</v>
      </c>
      <c r="F173" s="44" t="s">
        <v>39</v>
      </c>
      <c r="G173" s="44" t="s">
        <v>39</v>
      </c>
      <c r="H173" s="44" t="s">
        <v>39</v>
      </c>
      <c r="I173" s="44" t="s">
        <v>39</v>
      </c>
      <c r="J173" s="39" t="s">
        <v>36</v>
      </c>
      <c r="K173" s="39" t="s">
        <v>39</v>
      </c>
      <c r="L173" s="38" t="s">
        <v>39</v>
      </c>
      <c r="M173" s="38" t="s">
        <v>39</v>
      </c>
      <c r="N173" s="38" t="s">
        <v>39</v>
      </c>
      <c r="O173" s="38" t="s">
        <v>39</v>
      </c>
      <c r="P173" s="38" t="s">
        <v>39</v>
      </c>
      <c r="Q173" s="39"/>
      <c r="R173" s="39"/>
      <c r="S173" s="44" t="s">
        <v>39</v>
      </c>
      <c r="T173" s="44" t="s">
        <v>39</v>
      </c>
      <c r="U173" s="44" t="s">
        <v>39</v>
      </c>
      <c r="V173" s="44" t="s">
        <v>39</v>
      </c>
      <c r="W173" s="40" t="s">
        <v>39</v>
      </c>
      <c r="X173" s="39" t="s">
        <v>36</v>
      </c>
      <c r="Y173" s="39" t="s">
        <v>36</v>
      </c>
      <c r="Z173" s="38" t="s">
        <v>39</v>
      </c>
      <c r="AA173" s="38" t="s">
        <v>39</v>
      </c>
      <c r="AB173" s="38" t="s">
        <v>39</v>
      </c>
      <c r="AC173" s="38" t="s">
        <v>39</v>
      </c>
      <c r="AD173" s="44" t="s">
        <v>35</v>
      </c>
      <c r="AE173" s="39"/>
      <c r="AF173" s="39"/>
      <c r="AG173" s="38" t="s">
        <v>39</v>
      </c>
      <c r="AH173" s="38" t="s">
        <v>39</v>
      </c>
      <c r="AI173" s="61">
        <v>1</v>
      </c>
      <c r="AJ173" s="62">
        <f t="shared" ref="AJ173:AJ177" si="167">AI173+AI174</f>
        <v>5</v>
      </c>
      <c r="AK173" s="35">
        <v>22</v>
      </c>
      <c r="AL173" s="35">
        <f t="shared" ref="AL173:AL177" si="168">E174+F174+G174+H174+I174+L174+M174+N174+O174+P174+S174+T174+U174+V174+Z174+AA174+AB174+AC174+AD174+AG174+AH174</f>
        <v>83.5</v>
      </c>
      <c r="AM173" s="36">
        <f t="shared" ref="AM173:AM177" si="169">J174+K174+Q174+R174+X174+Y174+AE174+AF174</f>
        <v>41</v>
      </c>
      <c r="AN173" s="36">
        <f t="shared" ref="AN173:AN177" si="170">W174</f>
        <v>4.5</v>
      </c>
      <c r="AO173" s="36">
        <f t="shared" ref="AO173:AO177" si="171">21*8</f>
        <v>168</v>
      </c>
      <c r="AP173" s="63">
        <f t="shared" ref="AP173:AP177" si="172">AL173+AM173+AN173+AO173-AQ173-AS173-AT173-AV173-AW173-AX173-AY173-AZ173-AU173</f>
        <v>297</v>
      </c>
      <c r="AQ173" s="63">
        <v>0</v>
      </c>
      <c r="AR173" s="66">
        <v>40</v>
      </c>
      <c r="AS173" s="36">
        <v>0</v>
      </c>
      <c r="AT173" s="36">
        <v>0</v>
      </c>
      <c r="AU173" s="36">
        <v>0</v>
      </c>
      <c r="AV173" s="36">
        <v>0</v>
      </c>
      <c r="AW173" s="36">
        <v>0</v>
      </c>
      <c r="AX173" s="36">
        <v>0</v>
      </c>
      <c r="AY173" s="36">
        <v>0</v>
      </c>
      <c r="AZ173" s="36">
        <v>0</v>
      </c>
    </row>
    <row r="174" s="24" customFormat="1" ht="21" customHeight="1" spans="1:52">
      <c r="A174" s="42"/>
      <c r="B174" s="43"/>
      <c r="C174" s="42"/>
      <c r="D174" s="61" t="s">
        <v>37</v>
      </c>
      <c r="E174" s="38">
        <v>1.5</v>
      </c>
      <c r="F174" s="38">
        <v>4</v>
      </c>
      <c r="G174" s="38">
        <v>4.5</v>
      </c>
      <c r="H174" s="38">
        <v>3.5</v>
      </c>
      <c r="I174" s="38">
        <v>2</v>
      </c>
      <c r="J174" s="39"/>
      <c r="K174" s="39">
        <v>9.5</v>
      </c>
      <c r="L174" s="38">
        <v>6</v>
      </c>
      <c r="M174" s="38"/>
      <c r="N174" s="38">
        <v>6</v>
      </c>
      <c r="O174" s="38">
        <v>1.5</v>
      </c>
      <c r="P174" s="38"/>
      <c r="Q174" s="39">
        <v>10.5</v>
      </c>
      <c r="R174" s="39">
        <v>4.5</v>
      </c>
      <c r="S174" s="38">
        <v>2</v>
      </c>
      <c r="T174" s="38"/>
      <c r="U174" s="38">
        <v>10.5</v>
      </c>
      <c r="V174" s="38">
        <v>2.5</v>
      </c>
      <c r="W174" s="40">
        <v>4.5</v>
      </c>
      <c r="X174" s="39"/>
      <c r="Y174" s="39"/>
      <c r="Z174" s="38">
        <v>12</v>
      </c>
      <c r="AA174" s="38">
        <v>7</v>
      </c>
      <c r="AB174" s="38">
        <v>8</v>
      </c>
      <c r="AC174" s="38">
        <v>3.5</v>
      </c>
      <c r="AD174" s="38">
        <v>3.5</v>
      </c>
      <c r="AE174" s="39">
        <v>8.5</v>
      </c>
      <c r="AF174" s="39">
        <v>8</v>
      </c>
      <c r="AG174" s="38"/>
      <c r="AH174" s="38">
        <v>5.5</v>
      </c>
      <c r="AI174" s="61">
        <v>4</v>
      </c>
      <c r="AJ174" s="64"/>
      <c r="AK174" s="43"/>
      <c r="AL174" s="43"/>
      <c r="AM174" s="42"/>
      <c r="AN174" s="42"/>
      <c r="AO174" s="42"/>
      <c r="AP174" s="65"/>
      <c r="AQ174" s="65"/>
      <c r="AR174" s="67"/>
      <c r="AS174" s="42"/>
      <c r="AT174" s="42"/>
      <c r="AU174" s="42"/>
      <c r="AV174" s="42"/>
      <c r="AW174" s="42"/>
      <c r="AX174" s="42"/>
      <c r="AY174" s="42"/>
      <c r="AZ174" s="42"/>
    </row>
    <row r="175" s="24" customFormat="1" ht="21" customHeight="1" spans="1:52">
      <c r="A175" s="36">
        <v>86</v>
      </c>
      <c r="B175" s="35" t="s">
        <v>32</v>
      </c>
      <c r="C175" s="36" t="s">
        <v>159</v>
      </c>
      <c r="D175" s="37" t="s">
        <v>34</v>
      </c>
      <c r="E175" s="44" t="s">
        <v>39</v>
      </c>
      <c r="F175" s="44" t="s">
        <v>39</v>
      </c>
      <c r="G175" s="44" t="s">
        <v>39</v>
      </c>
      <c r="H175" s="44" t="s">
        <v>39</v>
      </c>
      <c r="I175" s="44" t="s">
        <v>39</v>
      </c>
      <c r="J175" s="39" t="s">
        <v>36</v>
      </c>
      <c r="K175" s="39" t="s">
        <v>36</v>
      </c>
      <c r="L175" s="44" t="s">
        <v>35</v>
      </c>
      <c r="M175" s="44" t="s">
        <v>35</v>
      </c>
      <c r="N175" s="44" t="s">
        <v>39</v>
      </c>
      <c r="O175" s="44" t="s">
        <v>39</v>
      </c>
      <c r="P175" s="44" t="s">
        <v>39</v>
      </c>
      <c r="Q175" s="39" t="s">
        <v>39</v>
      </c>
      <c r="R175" s="39" t="s">
        <v>39</v>
      </c>
      <c r="S175" s="44" t="s">
        <v>39</v>
      </c>
      <c r="T175" s="44" t="s">
        <v>39</v>
      </c>
      <c r="U175" s="44" t="s">
        <v>39</v>
      </c>
      <c r="V175" s="38" t="s">
        <v>39</v>
      </c>
      <c r="W175" s="40" t="s">
        <v>36</v>
      </c>
      <c r="X175" s="39" t="s">
        <v>36</v>
      </c>
      <c r="Y175" s="39" t="s">
        <v>36</v>
      </c>
      <c r="Z175" s="44" t="s">
        <v>35</v>
      </c>
      <c r="AA175" s="44" t="s">
        <v>35</v>
      </c>
      <c r="AB175" s="44" t="s">
        <v>35</v>
      </c>
      <c r="AC175" s="44" t="s">
        <v>35</v>
      </c>
      <c r="AD175" s="44" t="s">
        <v>35</v>
      </c>
      <c r="AE175" s="39" t="s">
        <v>36</v>
      </c>
      <c r="AF175" s="39" t="s">
        <v>36</v>
      </c>
      <c r="AG175" s="44" t="s">
        <v>35</v>
      </c>
      <c r="AH175" s="44" t="s">
        <v>39</v>
      </c>
      <c r="AI175" s="37">
        <v>8</v>
      </c>
      <c r="AJ175" s="35">
        <f t="shared" si="167"/>
        <v>12</v>
      </c>
      <c r="AK175" s="35">
        <v>15</v>
      </c>
      <c r="AL175" s="35">
        <f t="shared" si="168"/>
        <v>24.5</v>
      </c>
      <c r="AM175" s="36">
        <f t="shared" si="169"/>
        <v>3</v>
      </c>
      <c r="AN175" s="36">
        <f t="shared" si="170"/>
        <v>0</v>
      </c>
      <c r="AO175" s="36">
        <f t="shared" si="171"/>
        <v>168</v>
      </c>
      <c r="AP175" s="36">
        <f t="shared" si="172"/>
        <v>180.5</v>
      </c>
      <c r="AQ175" s="36">
        <v>15</v>
      </c>
      <c r="AR175" s="66">
        <v>40</v>
      </c>
      <c r="AS175" s="36">
        <v>0</v>
      </c>
      <c r="AT175" s="36">
        <v>0</v>
      </c>
      <c r="AU175" s="36">
        <v>0</v>
      </c>
      <c r="AV175" s="36">
        <v>0</v>
      </c>
      <c r="AW175" s="36">
        <v>0</v>
      </c>
      <c r="AX175" s="36">
        <v>0</v>
      </c>
      <c r="AY175" s="36">
        <v>0</v>
      </c>
      <c r="AZ175" s="36">
        <v>0</v>
      </c>
    </row>
    <row r="176" s="24" customFormat="1" ht="21" customHeight="1" spans="1:52">
      <c r="A176" s="42"/>
      <c r="B176" s="43"/>
      <c r="C176" s="42"/>
      <c r="D176" s="37" t="s">
        <v>37</v>
      </c>
      <c r="E176" s="38">
        <v>1.5</v>
      </c>
      <c r="F176" s="38">
        <v>1.5</v>
      </c>
      <c r="G176" s="38">
        <v>1.5</v>
      </c>
      <c r="H176" s="38">
        <v>1.5</v>
      </c>
      <c r="I176" s="38"/>
      <c r="J176" s="39"/>
      <c r="K176" s="39"/>
      <c r="L176" s="38"/>
      <c r="M176" s="38">
        <v>1</v>
      </c>
      <c r="N176" s="38"/>
      <c r="O176" s="38"/>
      <c r="P176" s="38">
        <v>2.5</v>
      </c>
      <c r="Q176" s="39"/>
      <c r="R176" s="39">
        <v>3</v>
      </c>
      <c r="S176" s="38"/>
      <c r="T176" s="38">
        <v>3</v>
      </c>
      <c r="U176" s="38">
        <v>1</v>
      </c>
      <c r="V176" s="38"/>
      <c r="W176" s="40"/>
      <c r="X176" s="39"/>
      <c r="Y176" s="39"/>
      <c r="Z176" s="38">
        <v>1.5</v>
      </c>
      <c r="AA176" s="38"/>
      <c r="AB176" s="44">
        <v>1.5</v>
      </c>
      <c r="AC176" s="38">
        <v>2.5</v>
      </c>
      <c r="AD176" s="38">
        <v>2.5</v>
      </c>
      <c r="AE176" s="39"/>
      <c r="AF176" s="39"/>
      <c r="AG176" s="38">
        <v>3</v>
      </c>
      <c r="AH176" s="38"/>
      <c r="AI176" s="37">
        <v>4</v>
      </c>
      <c r="AJ176" s="43"/>
      <c r="AK176" s="43"/>
      <c r="AL176" s="43"/>
      <c r="AM176" s="42"/>
      <c r="AN176" s="42"/>
      <c r="AO176" s="42"/>
      <c r="AP176" s="42"/>
      <c r="AQ176" s="42"/>
      <c r="AR176" s="67"/>
      <c r="AS176" s="42"/>
      <c r="AT176" s="42"/>
      <c r="AU176" s="42"/>
      <c r="AV176" s="42"/>
      <c r="AW176" s="42"/>
      <c r="AX176" s="42"/>
      <c r="AY176" s="42"/>
      <c r="AZ176" s="42"/>
    </row>
    <row r="177" s="24" customFormat="1" ht="23.25" customHeight="1" spans="1:52">
      <c r="A177" s="36">
        <v>87</v>
      </c>
      <c r="B177" s="35" t="s">
        <v>40</v>
      </c>
      <c r="C177" s="36" t="s">
        <v>160</v>
      </c>
      <c r="D177" s="37" t="s">
        <v>34</v>
      </c>
      <c r="E177" s="44" t="s">
        <v>35</v>
      </c>
      <c r="F177" s="44" t="s">
        <v>35</v>
      </c>
      <c r="G177" s="44" t="s">
        <v>150</v>
      </c>
      <c r="H177" s="44" t="s">
        <v>35</v>
      </c>
      <c r="I177" s="44" t="s">
        <v>35</v>
      </c>
      <c r="J177" s="39"/>
      <c r="K177" s="39" t="s">
        <v>36</v>
      </c>
      <c r="L177" s="44" t="s">
        <v>35</v>
      </c>
      <c r="M177" s="44" t="s">
        <v>35</v>
      </c>
      <c r="N177" s="44" t="s">
        <v>35</v>
      </c>
      <c r="O177" s="44" t="s">
        <v>35</v>
      </c>
      <c r="P177" s="44" t="s">
        <v>35</v>
      </c>
      <c r="Q177" s="39"/>
      <c r="R177" s="39" t="s">
        <v>36</v>
      </c>
      <c r="S177" s="44" t="s">
        <v>39</v>
      </c>
      <c r="T177" s="44" t="s">
        <v>39</v>
      </c>
      <c r="U177" s="44" t="s">
        <v>39</v>
      </c>
      <c r="V177" s="44" t="s">
        <v>35</v>
      </c>
      <c r="W177" s="40" t="s">
        <v>36</v>
      </c>
      <c r="X177" s="39" t="s">
        <v>36</v>
      </c>
      <c r="Y177" s="39" t="s">
        <v>36</v>
      </c>
      <c r="Z177" s="68" t="s">
        <v>161</v>
      </c>
      <c r="AA177" s="44" t="s">
        <v>35</v>
      </c>
      <c r="AB177" s="44" t="s">
        <v>35</v>
      </c>
      <c r="AC177" s="44" t="s">
        <v>35</v>
      </c>
      <c r="AD177" s="44" t="s">
        <v>35</v>
      </c>
      <c r="AE177" s="39"/>
      <c r="AF177" s="39"/>
      <c r="AG177" s="44" t="s">
        <v>35</v>
      </c>
      <c r="AH177" s="44" t="s">
        <v>35</v>
      </c>
      <c r="AI177" s="37">
        <v>16</v>
      </c>
      <c r="AJ177" s="35">
        <f t="shared" si="167"/>
        <v>43</v>
      </c>
      <c r="AK177" s="35">
        <v>3</v>
      </c>
      <c r="AL177" s="35">
        <f t="shared" si="168"/>
        <v>73.5</v>
      </c>
      <c r="AM177" s="36">
        <f t="shared" si="169"/>
        <v>35</v>
      </c>
      <c r="AN177" s="36">
        <f t="shared" si="170"/>
        <v>0</v>
      </c>
      <c r="AO177" s="36">
        <f t="shared" si="171"/>
        <v>168</v>
      </c>
      <c r="AP177" s="36">
        <f t="shared" si="172"/>
        <v>264.5</v>
      </c>
      <c r="AQ177" s="36">
        <v>9</v>
      </c>
      <c r="AR177" s="36">
        <f>9-AQ177</f>
        <v>0</v>
      </c>
      <c r="AS177" s="36">
        <v>0</v>
      </c>
      <c r="AT177" s="36">
        <v>3</v>
      </c>
      <c r="AU177" s="36">
        <v>0</v>
      </c>
      <c r="AV177" s="36">
        <v>0</v>
      </c>
      <c r="AW177" s="36">
        <v>0</v>
      </c>
      <c r="AX177" s="36">
        <v>0</v>
      </c>
      <c r="AY177" s="36">
        <v>0</v>
      </c>
      <c r="AZ177" s="36">
        <v>0</v>
      </c>
    </row>
    <row r="178" s="24" customFormat="1" ht="21" customHeight="1" spans="1:52">
      <c r="A178" s="42"/>
      <c r="B178" s="43"/>
      <c r="C178" s="42"/>
      <c r="D178" s="37" t="s">
        <v>37</v>
      </c>
      <c r="E178" s="38">
        <v>2.5</v>
      </c>
      <c r="F178" s="38">
        <v>2</v>
      </c>
      <c r="G178" s="38">
        <v>2.5</v>
      </c>
      <c r="H178" s="38">
        <v>3</v>
      </c>
      <c r="I178" s="38">
        <v>1</v>
      </c>
      <c r="J178" s="39">
        <v>10</v>
      </c>
      <c r="K178" s="39"/>
      <c r="L178" s="38">
        <v>5</v>
      </c>
      <c r="M178" s="38">
        <v>6</v>
      </c>
      <c r="N178" s="38">
        <v>6</v>
      </c>
      <c r="O178" s="38">
        <v>3</v>
      </c>
      <c r="P178" s="38">
        <v>2</v>
      </c>
      <c r="Q178" s="39">
        <v>9.5</v>
      </c>
      <c r="R178" s="39"/>
      <c r="S178" s="38"/>
      <c r="T178" s="38">
        <v>3</v>
      </c>
      <c r="U178" s="38">
        <v>1.5</v>
      </c>
      <c r="V178" s="38">
        <v>3</v>
      </c>
      <c r="W178" s="40"/>
      <c r="X178" s="39"/>
      <c r="Y178" s="39"/>
      <c r="Z178" s="38"/>
      <c r="AA178" s="38">
        <v>7</v>
      </c>
      <c r="AB178" s="38">
        <v>7.5</v>
      </c>
      <c r="AC178" s="38">
        <v>4.5</v>
      </c>
      <c r="AD178" s="38">
        <v>2.5</v>
      </c>
      <c r="AE178" s="39">
        <v>8</v>
      </c>
      <c r="AF178" s="39">
        <v>7.5</v>
      </c>
      <c r="AG178" s="38">
        <v>6</v>
      </c>
      <c r="AH178" s="38">
        <v>5.5</v>
      </c>
      <c r="AI178" s="37">
        <v>27</v>
      </c>
      <c r="AJ178" s="43"/>
      <c r="AK178" s="43"/>
      <c r="AL178" s="43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</row>
    <row r="179" s="24" customFormat="1" ht="21" customHeight="1" spans="1:52">
      <c r="A179" s="36">
        <v>88</v>
      </c>
      <c r="B179" s="35" t="s">
        <v>32</v>
      </c>
      <c r="C179" s="36" t="s">
        <v>162</v>
      </c>
      <c r="D179" s="37" t="s">
        <v>34</v>
      </c>
      <c r="E179" s="44" t="s">
        <v>35</v>
      </c>
      <c r="F179" s="44" t="s">
        <v>35</v>
      </c>
      <c r="G179" s="44" t="s">
        <v>35</v>
      </c>
      <c r="H179" s="44" t="s">
        <v>35</v>
      </c>
      <c r="I179" s="44" t="s">
        <v>35</v>
      </c>
      <c r="J179" s="39" t="s">
        <v>36</v>
      </c>
      <c r="K179" s="39" t="s">
        <v>36</v>
      </c>
      <c r="L179" s="44" t="s">
        <v>35</v>
      </c>
      <c r="M179" s="44" t="s">
        <v>35</v>
      </c>
      <c r="N179" s="44" t="s">
        <v>35</v>
      </c>
      <c r="O179" s="44" t="s">
        <v>35</v>
      </c>
      <c r="P179" s="44" t="s">
        <v>35</v>
      </c>
      <c r="Q179" s="39" t="s">
        <v>36</v>
      </c>
      <c r="R179" s="39" t="s">
        <v>36</v>
      </c>
      <c r="S179" s="44" t="s">
        <v>35</v>
      </c>
      <c r="T179" s="44" t="s">
        <v>35</v>
      </c>
      <c r="U179" s="44" t="s">
        <v>35</v>
      </c>
      <c r="V179" s="44" t="s">
        <v>35</v>
      </c>
      <c r="W179" s="40" t="s">
        <v>36</v>
      </c>
      <c r="X179" s="39" t="s">
        <v>36</v>
      </c>
      <c r="Y179" s="39" t="s">
        <v>36</v>
      </c>
      <c r="Z179" s="44" t="s">
        <v>35</v>
      </c>
      <c r="AA179" s="44" t="s">
        <v>35</v>
      </c>
      <c r="AB179" s="44" t="s">
        <v>35</v>
      </c>
      <c r="AC179" s="44" t="s">
        <v>35</v>
      </c>
      <c r="AD179" s="44" t="s">
        <v>35</v>
      </c>
      <c r="AE179" s="39" t="s">
        <v>36</v>
      </c>
      <c r="AF179" s="39" t="s">
        <v>36</v>
      </c>
      <c r="AG179" s="44" t="s">
        <v>35</v>
      </c>
      <c r="AH179" s="44" t="s">
        <v>35</v>
      </c>
      <c r="AI179" s="37">
        <v>21</v>
      </c>
      <c r="AJ179" s="35">
        <f t="shared" ref="AJ179:AJ183" si="173">AI179+AI180</f>
        <v>21</v>
      </c>
      <c r="AK179" s="35">
        <v>0</v>
      </c>
      <c r="AL179" s="35">
        <f t="shared" ref="AL179:AL183" si="174">E180+F180+G180+H180+I180+L180+M180+N180+O180+P180+S180+T180+U180+V180+Z180+AA180+AB180+AC180+AD180+AG180+AH180</f>
        <v>0</v>
      </c>
      <c r="AM179" s="36">
        <f t="shared" ref="AM179:AM183" si="175">J180+K180+Q180+R180+X180+Y180+AE180+AF180</f>
        <v>0</v>
      </c>
      <c r="AN179" s="36">
        <f t="shared" ref="AN179:AN183" si="176">W180</f>
        <v>0</v>
      </c>
      <c r="AO179" s="36">
        <f t="shared" ref="AO179:AO183" si="177">21*8</f>
        <v>168</v>
      </c>
      <c r="AP179" s="36">
        <f t="shared" ref="AP179:AP183" si="178">AL179+AM179+AN179+AO179-AQ179-AS179-AT179-AV179-AW179-AX179-AY179-AZ179-AU179</f>
        <v>168</v>
      </c>
      <c r="AQ179" s="36">
        <v>0</v>
      </c>
      <c r="AR179" s="36">
        <v>0</v>
      </c>
      <c r="AS179" s="36">
        <v>0</v>
      </c>
      <c r="AT179" s="36">
        <v>0</v>
      </c>
      <c r="AU179" s="36">
        <v>0</v>
      </c>
      <c r="AV179" s="36">
        <v>0</v>
      </c>
      <c r="AW179" s="36">
        <v>0</v>
      </c>
      <c r="AX179" s="36">
        <v>0</v>
      </c>
      <c r="AY179" s="36">
        <v>0</v>
      </c>
      <c r="AZ179" s="36">
        <v>0</v>
      </c>
    </row>
    <row r="180" s="24" customFormat="1" ht="21" customHeight="1" spans="1:52">
      <c r="A180" s="42"/>
      <c r="B180" s="43"/>
      <c r="C180" s="42"/>
      <c r="D180" s="37" t="s">
        <v>37</v>
      </c>
      <c r="E180" s="38"/>
      <c r="F180" s="38"/>
      <c r="G180" s="38"/>
      <c r="H180" s="38"/>
      <c r="I180" s="38"/>
      <c r="J180" s="39"/>
      <c r="K180" s="39"/>
      <c r="L180" s="38"/>
      <c r="M180" s="38"/>
      <c r="N180" s="38"/>
      <c r="O180" s="38"/>
      <c r="P180" s="38"/>
      <c r="Q180" s="39"/>
      <c r="R180" s="39"/>
      <c r="S180" s="38"/>
      <c r="T180" s="38"/>
      <c r="U180" s="38"/>
      <c r="V180" s="38"/>
      <c r="W180" s="40"/>
      <c r="X180" s="39"/>
      <c r="Y180" s="39"/>
      <c r="Z180" s="38"/>
      <c r="AA180" s="38"/>
      <c r="AB180" s="38"/>
      <c r="AC180" s="38"/>
      <c r="AD180" s="38"/>
      <c r="AE180" s="39"/>
      <c r="AF180" s="39"/>
      <c r="AG180" s="38"/>
      <c r="AH180" s="38"/>
      <c r="AI180" s="37">
        <v>0</v>
      </c>
      <c r="AJ180" s="43"/>
      <c r="AK180" s="43"/>
      <c r="AL180" s="43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</row>
    <row r="181" s="24" customFormat="1" ht="21" customHeight="1" spans="1:52">
      <c r="A181" s="36">
        <v>89</v>
      </c>
      <c r="B181" s="35" t="s">
        <v>40</v>
      </c>
      <c r="C181" s="36" t="s">
        <v>163</v>
      </c>
      <c r="D181" s="37" t="s">
        <v>34</v>
      </c>
      <c r="E181" s="44" t="s">
        <v>39</v>
      </c>
      <c r="F181" s="44" t="s">
        <v>39</v>
      </c>
      <c r="G181" s="44" t="s">
        <v>39</v>
      </c>
      <c r="H181" s="44" t="s">
        <v>39</v>
      </c>
      <c r="I181" s="44" t="s">
        <v>39</v>
      </c>
      <c r="J181" s="39"/>
      <c r="K181" s="39" t="s">
        <v>36</v>
      </c>
      <c r="L181" s="44" t="s">
        <v>35</v>
      </c>
      <c r="M181" s="44" t="s">
        <v>35</v>
      </c>
      <c r="N181" s="44" t="s">
        <v>35</v>
      </c>
      <c r="O181" s="44" t="s">
        <v>35</v>
      </c>
      <c r="P181" s="44" t="s">
        <v>35</v>
      </c>
      <c r="Q181" s="39"/>
      <c r="R181" s="39" t="s">
        <v>36</v>
      </c>
      <c r="S181" s="44" t="s">
        <v>35</v>
      </c>
      <c r="T181" s="44" t="s">
        <v>35</v>
      </c>
      <c r="U181" s="44" t="s">
        <v>35</v>
      </c>
      <c r="V181" s="44" t="s">
        <v>35</v>
      </c>
      <c r="W181" s="40" t="s">
        <v>36</v>
      </c>
      <c r="X181" s="39" t="s">
        <v>36</v>
      </c>
      <c r="Y181" s="39" t="s">
        <v>36</v>
      </c>
      <c r="Z181" s="44" t="s">
        <v>35</v>
      </c>
      <c r="AA181" s="44" t="s">
        <v>35</v>
      </c>
      <c r="AB181" s="44" t="s">
        <v>35</v>
      </c>
      <c r="AC181" s="44" t="s">
        <v>35</v>
      </c>
      <c r="AD181" s="44" t="s">
        <v>39</v>
      </c>
      <c r="AE181" s="39" t="s">
        <v>39</v>
      </c>
      <c r="AF181" s="39" t="s">
        <v>39</v>
      </c>
      <c r="AG181" s="44" t="s">
        <v>39</v>
      </c>
      <c r="AH181" s="44" t="s">
        <v>35</v>
      </c>
      <c r="AI181" s="37">
        <v>14</v>
      </c>
      <c r="AJ181" s="35">
        <f t="shared" si="173"/>
        <v>26</v>
      </c>
      <c r="AK181" s="35">
        <v>9</v>
      </c>
      <c r="AL181" s="35">
        <f t="shared" si="174"/>
        <v>39</v>
      </c>
      <c r="AM181" s="36">
        <f t="shared" si="175"/>
        <v>31.5</v>
      </c>
      <c r="AN181" s="36">
        <f t="shared" si="176"/>
        <v>0</v>
      </c>
      <c r="AO181" s="36">
        <f t="shared" si="177"/>
        <v>168</v>
      </c>
      <c r="AP181" s="36">
        <f t="shared" si="178"/>
        <v>238.5</v>
      </c>
      <c r="AQ181" s="36">
        <v>0</v>
      </c>
      <c r="AR181" s="36">
        <v>33.5</v>
      </c>
      <c r="AS181" s="36">
        <v>0</v>
      </c>
      <c r="AT181" s="36">
        <v>0</v>
      </c>
      <c r="AU181" s="36">
        <v>0</v>
      </c>
      <c r="AV181" s="36">
        <v>0</v>
      </c>
      <c r="AW181" s="36">
        <v>0</v>
      </c>
      <c r="AX181" s="36">
        <v>0</v>
      </c>
      <c r="AY181" s="36">
        <v>0</v>
      </c>
      <c r="AZ181" s="36">
        <v>0</v>
      </c>
    </row>
    <row r="182" s="24" customFormat="1" ht="21" customHeight="1" spans="1:52">
      <c r="A182" s="42"/>
      <c r="B182" s="43"/>
      <c r="C182" s="42"/>
      <c r="D182" s="37" t="s">
        <v>37</v>
      </c>
      <c r="E182" s="38">
        <v>2</v>
      </c>
      <c r="F182" s="38">
        <v>2</v>
      </c>
      <c r="G182" s="38">
        <v>2.5</v>
      </c>
      <c r="H182" s="38">
        <v>3.5</v>
      </c>
      <c r="I182" s="38"/>
      <c r="J182" s="39">
        <v>7</v>
      </c>
      <c r="K182" s="39"/>
      <c r="L182" s="38">
        <v>1</v>
      </c>
      <c r="M182" s="38">
        <v>2</v>
      </c>
      <c r="N182" s="38">
        <v>2</v>
      </c>
      <c r="O182" s="38">
        <v>2</v>
      </c>
      <c r="P182" s="38"/>
      <c r="Q182" s="39">
        <v>7</v>
      </c>
      <c r="R182" s="39"/>
      <c r="S182" s="38">
        <v>2</v>
      </c>
      <c r="T182" s="38">
        <v>2</v>
      </c>
      <c r="U182" s="38">
        <v>2</v>
      </c>
      <c r="V182" s="38">
        <v>1.5</v>
      </c>
      <c r="W182" s="40"/>
      <c r="X182" s="39"/>
      <c r="Y182" s="39"/>
      <c r="Z182" s="44">
        <v>1.5</v>
      </c>
      <c r="AA182" s="38">
        <v>2</v>
      </c>
      <c r="AB182" s="38">
        <v>2</v>
      </c>
      <c r="AC182" s="38">
        <v>2.5</v>
      </c>
      <c r="AD182" s="38">
        <v>3.5</v>
      </c>
      <c r="AE182" s="39">
        <v>9</v>
      </c>
      <c r="AF182" s="39">
        <v>8.5</v>
      </c>
      <c r="AG182" s="38">
        <v>3</v>
      </c>
      <c r="AH182" s="38"/>
      <c r="AI182" s="37">
        <v>12</v>
      </c>
      <c r="AJ182" s="43"/>
      <c r="AK182" s="43"/>
      <c r="AL182" s="43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</row>
    <row r="183" s="24" customFormat="1" ht="21" customHeight="1" spans="1:52">
      <c r="A183" s="36">
        <v>90</v>
      </c>
      <c r="B183" s="35" t="s">
        <v>32</v>
      </c>
      <c r="C183" s="36" t="s">
        <v>164</v>
      </c>
      <c r="D183" s="37" t="s">
        <v>34</v>
      </c>
      <c r="E183" s="44" t="s">
        <v>35</v>
      </c>
      <c r="F183" s="44" t="s">
        <v>35</v>
      </c>
      <c r="G183" s="44" t="s">
        <v>35</v>
      </c>
      <c r="H183" s="44" t="s">
        <v>35</v>
      </c>
      <c r="I183" s="44" t="s">
        <v>35</v>
      </c>
      <c r="J183" s="39"/>
      <c r="K183" s="39" t="s">
        <v>36</v>
      </c>
      <c r="L183" s="44" t="s">
        <v>35</v>
      </c>
      <c r="M183" s="44" t="s">
        <v>35</v>
      </c>
      <c r="N183" s="44" t="s">
        <v>35</v>
      </c>
      <c r="O183" s="44" t="s">
        <v>35</v>
      </c>
      <c r="P183" s="44" t="s">
        <v>165</v>
      </c>
      <c r="Q183" s="39"/>
      <c r="R183" s="39"/>
      <c r="S183" s="44" t="s">
        <v>35</v>
      </c>
      <c r="T183" s="44" t="s">
        <v>35</v>
      </c>
      <c r="U183" s="44" t="s">
        <v>35</v>
      </c>
      <c r="V183" s="44" t="s">
        <v>35</v>
      </c>
      <c r="W183" s="40"/>
      <c r="X183" s="39"/>
      <c r="Y183" s="39" t="s">
        <v>36</v>
      </c>
      <c r="Z183" s="44" t="s">
        <v>35</v>
      </c>
      <c r="AA183" s="44" t="s">
        <v>35</v>
      </c>
      <c r="AB183" s="44" t="s">
        <v>35</v>
      </c>
      <c r="AC183" s="44" t="s">
        <v>39</v>
      </c>
      <c r="AD183" s="44" t="s">
        <v>39</v>
      </c>
      <c r="AE183" s="39" t="s">
        <v>36</v>
      </c>
      <c r="AF183" s="39"/>
      <c r="AG183" s="44" t="s">
        <v>35</v>
      </c>
      <c r="AH183" s="44" t="s">
        <v>35</v>
      </c>
      <c r="AI183" s="37">
        <v>19</v>
      </c>
      <c r="AJ183" s="35">
        <f t="shared" si="173"/>
        <v>42</v>
      </c>
      <c r="AK183" s="35">
        <v>2</v>
      </c>
      <c r="AL183" s="35">
        <f t="shared" si="174"/>
        <v>47</v>
      </c>
      <c r="AM183" s="36">
        <f t="shared" si="175"/>
        <v>35.5</v>
      </c>
      <c r="AN183" s="36">
        <f t="shared" si="176"/>
        <v>8</v>
      </c>
      <c r="AO183" s="36">
        <f t="shared" si="177"/>
        <v>168</v>
      </c>
      <c r="AP183" s="36">
        <f t="shared" si="178"/>
        <v>257</v>
      </c>
      <c r="AQ183" s="36">
        <v>1.5</v>
      </c>
      <c r="AR183" s="36">
        <f>32-AQ183</f>
        <v>30.5</v>
      </c>
      <c r="AS183" s="36">
        <v>0</v>
      </c>
      <c r="AT183" s="36">
        <v>0</v>
      </c>
      <c r="AU183" s="36">
        <v>0</v>
      </c>
      <c r="AV183" s="36">
        <v>0</v>
      </c>
      <c r="AW183" s="36">
        <v>0</v>
      </c>
      <c r="AX183" s="36">
        <v>0</v>
      </c>
      <c r="AY183" s="36">
        <v>0</v>
      </c>
      <c r="AZ183" s="36">
        <v>0</v>
      </c>
    </row>
    <row r="184" s="24" customFormat="1" ht="21" customHeight="1" spans="1:52">
      <c r="A184" s="42"/>
      <c r="B184" s="43"/>
      <c r="C184" s="42"/>
      <c r="D184" s="37" t="s">
        <v>37</v>
      </c>
      <c r="E184" s="38">
        <v>3</v>
      </c>
      <c r="F184" s="38">
        <v>3</v>
      </c>
      <c r="G184" s="44">
        <v>1.5</v>
      </c>
      <c r="H184" s="38">
        <v>3.5</v>
      </c>
      <c r="I184" s="44">
        <v>1.5</v>
      </c>
      <c r="J184" s="39">
        <v>8</v>
      </c>
      <c r="K184" s="39"/>
      <c r="L184" s="38">
        <v>2.5</v>
      </c>
      <c r="M184" s="38">
        <v>2.5</v>
      </c>
      <c r="N184" s="38">
        <v>2</v>
      </c>
      <c r="O184" s="38">
        <v>2</v>
      </c>
      <c r="P184" s="38">
        <v>2</v>
      </c>
      <c r="Q184" s="39">
        <v>8.5</v>
      </c>
      <c r="R184" s="39">
        <v>3</v>
      </c>
      <c r="S184" s="38">
        <v>2</v>
      </c>
      <c r="T184" s="38">
        <v>3</v>
      </c>
      <c r="U184" s="38">
        <v>3</v>
      </c>
      <c r="V184" s="38">
        <v>2</v>
      </c>
      <c r="W184" s="40">
        <v>8</v>
      </c>
      <c r="X184" s="39">
        <v>8</v>
      </c>
      <c r="Y184" s="39"/>
      <c r="Z184" s="38"/>
      <c r="AA184" s="38">
        <v>2.5</v>
      </c>
      <c r="AB184" s="38">
        <v>3</v>
      </c>
      <c r="AC184" s="38"/>
      <c r="AD184" s="38">
        <v>2.5</v>
      </c>
      <c r="AE184" s="39"/>
      <c r="AF184" s="39">
        <v>8</v>
      </c>
      <c r="AG184" s="38">
        <v>3.5</v>
      </c>
      <c r="AH184" s="38">
        <v>2</v>
      </c>
      <c r="AI184" s="37">
        <v>23</v>
      </c>
      <c r="AJ184" s="43"/>
      <c r="AK184" s="43"/>
      <c r="AL184" s="43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</row>
    <row r="185" s="24" customFormat="1" ht="21" customHeight="1" spans="1:52">
      <c r="A185" s="36">
        <v>91</v>
      </c>
      <c r="B185" s="35" t="s">
        <v>32</v>
      </c>
      <c r="C185" s="36" t="s">
        <v>166</v>
      </c>
      <c r="D185" s="37" t="s">
        <v>34</v>
      </c>
      <c r="E185" s="44" t="s">
        <v>35</v>
      </c>
      <c r="F185" s="44" t="s">
        <v>35</v>
      </c>
      <c r="G185" s="44" t="s">
        <v>35</v>
      </c>
      <c r="H185" s="44" t="s">
        <v>35</v>
      </c>
      <c r="I185" s="44" t="s">
        <v>35</v>
      </c>
      <c r="J185" s="39"/>
      <c r="K185" s="39"/>
      <c r="L185" s="44" t="s">
        <v>35</v>
      </c>
      <c r="M185" s="44" t="s">
        <v>35</v>
      </c>
      <c r="N185" s="44" t="s">
        <v>35</v>
      </c>
      <c r="O185" s="44" t="s">
        <v>35</v>
      </c>
      <c r="P185" s="44" t="s">
        <v>35</v>
      </c>
      <c r="Q185" s="39"/>
      <c r="R185" s="39"/>
      <c r="S185" s="44" t="s">
        <v>167</v>
      </c>
      <c r="T185" s="44" t="s">
        <v>167</v>
      </c>
      <c r="U185" s="44" t="s">
        <v>167</v>
      </c>
      <c r="V185" s="44" t="s">
        <v>35</v>
      </c>
      <c r="W185" s="40"/>
      <c r="X185" s="39"/>
      <c r="Y185" s="39"/>
      <c r="Z185" s="44" t="s">
        <v>35</v>
      </c>
      <c r="AA185" s="44" t="s">
        <v>35</v>
      </c>
      <c r="AB185" s="44" t="s">
        <v>35</v>
      </c>
      <c r="AC185" s="44" t="s">
        <v>35</v>
      </c>
      <c r="AD185" s="44" t="s">
        <v>35</v>
      </c>
      <c r="AE185" s="39"/>
      <c r="AF185" s="39" t="s">
        <v>36</v>
      </c>
      <c r="AG185" s="44" t="s">
        <v>35</v>
      </c>
      <c r="AH185" s="44" t="s">
        <v>35</v>
      </c>
      <c r="AI185" s="37">
        <v>18</v>
      </c>
      <c r="AJ185" s="35">
        <f t="shared" ref="AJ185:AJ189" si="179">AI185+AI186</f>
        <v>52</v>
      </c>
      <c r="AK185" s="35">
        <v>0</v>
      </c>
      <c r="AL185" s="35">
        <f t="shared" ref="AL185:AL189" si="180">E186+F186+G186+H186+I186+L186+M186+N186+O186+P186+S186+T186+U186+V186+Z186+AA186+AB186+AC186+AD186+AG186+AH186</f>
        <v>54</v>
      </c>
      <c r="AM185" s="36">
        <f t="shared" ref="AM185:AM189" si="181">J186+K186+Q186+R186+X186+Y186+AE186+AF186</f>
        <v>67</v>
      </c>
      <c r="AN185" s="36">
        <f t="shared" ref="AN185:AN189" si="182">W186</f>
        <v>13.5</v>
      </c>
      <c r="AO185" s="36">
        <f t="shared" ref="AO185:AO189" si="183">21*8</f>
        <v>168</v>
      </c>
      <c r="AP185" s="36">
        <f t="shared" ref="AP185:AP189" si="184">AL185+AM185+AN185+AO185-AQ185-AS185-AT185-AV185-AW185-AX185-AY185-AZ185-AU185</f>
        <v>278.5</v>
      </c>
      <c r="AQ185" s="36">
        <v>0</v>
      </c>
      <c r="AR185" s="36">
        <v>80</v>
      </c>
      <c r="AS185" s="36">
        <v>0</v>
      </c>
      <c r="AT185" s="36">
        <v>0</v>
      </c>
      <c r="AU185" s="36">
        <v>0</v>
      </c>
      <c r="AV185" s="36">
        <v>0</v>
      </c>
      <c r="AW185" s="36">
        <v>0</v>
      </c>
      <c r="AX185" s="36">
        <v>0</v>
      </c>
      <c r="AY185" s="36">
        <v>24</v>
      </c>
      <c r="AZ185" s="36">
        <v>0</v>
      </c>
    </row>
    <row r="186" s="24" customFormat="1" ht="21" customHeight="1" spans="1:52">
      <c r="A186" s="42"/>
      <c r="B186" s="43"/>
      <c r="C186" s="42"/>
      <c r="D186" s="37" t="s">
        <v>37</v>
      </c>
      <c r="E186" s="44">
        <v>1.5</v>
      </c>
      <c r="F186" s="38">
        <v>4.5</v>
      </c>
      <c r="G186" s="38">
        <v>2</v>
      </c>
      <c r="H186" s="38">
        <v>2</v>
      </c>
      <c r="I186" s="38">
        <v>2.5</v>
      </c>
      <c r="J186" s="39">
        <v>12.5</v>
      </c>
      <c r="K186" s="39">
        <v>9.5</v>
      </c>
      <c r="L186" s="38">
        <v>4</v>
      </c>
      <c r="M186" s="44">
        <v>1.5</v>
      </c>
      <c r="N186" s="38">
        <v>5.5</v>
      </c>
      <c r="O186" s="44">
        <v>1.5</v>
      </c>
      <c r="P186" s="44">
        <v>1.5</v>
      </c>
      <c r="Q186" s="39">
        <v>8.5</v>
      </c>
      <c r="R186" s="39">
        <v>8</v>
      </c>
      <c r="S186" s="38"/>
      <c r="T186" s="38"/>
      <c r="U186" s="38"/>
      <c r="V186" s="38">
        <v>9</v>
      </c>
      <c r="W186" s="40">
        <v>13.5</v>
      </c>
      <c r="X186" s="39">
        <v>9</v>
      </c>
      <c r="Y186" s="39">
        <v>11.5</v>
      </c>
      <c r="Z186" s="44">
        <v>1.5</v>
      </c>
      <c r="AA186" s="38">
        <v>2.5</v>
      </c>
      <c r="AB186" s="38">
        <v>2.5</v>
      </c>
      <c r="AC186" s="38">
        <v>6</v>
      </c>
      <c r="AD186" s="44">
        <v>1.5</v>
      </c>
      <c r="AE186" s="39">
        <v>8</v>
      </c>
      <c r="AF186" s="39"/>
      <c r="AG186" s="38">
        <v>2</v>
      </c>
      <c r="AH186" s="38">
        <v>2.5</v>
      </c>
      <c r="AI186" s="37">
        <v>34</v>
      </c>
      <c r="AJ186" s="43"/>
      <c r="AK186" s="43"/>
      <c r="AL186" s="43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</row>
    <row r="187" s="24" customFormat="1" ht="21" customHeight="1" spans="1:52">
      <c r="A187" s="36">
        <v>92</v>
      </c>
      <c r="B187" s="35" t="s">
        <v>32</v>
      </c>
      <c r="C187" s="36" t="s">
        <v>168</v>
      </c>
      <c r="D187" s="37" t="s">
        <v>34</v>
      </c>
      <c r="E187" s="44" t="s">
        <v>39</v>
      </c>
      <c r="F187" s="44" t="s">
        <v>39</v>
      </c>
      <c r="G187" s="44" t="s">
        <v>39</v>
      </c>
      <c r="H187" s="44" t="s">
        <v>39</v>
      </c>
      <c r="I187" s="44" t="s">
        <v>39</v>
      </c>
      <c r="J187" s="39" t="s">
        <v>39</v>
      </c>
      <c r="K187" s="39" t="s">
        <v>39</v>
      </c>
      <c r="L187" s="44" t="s">
        <v>35</v>
      </c>
      <c r="M187" s="44" t="s">
        <v>39</v>
      </c>
      <c r="N187" s="44" t="s">
        <v>39</v>
      </c>
      <c r="O187" s="44" t="s">
        <v>39</v>
      </c>
      <c r="P187" s="44" t="s">
        <v>35</v>
      </c>
      <c r="Q187" s="39"/>
      <c r="R187" s="39" t="s">
        <v>36</v>
      </c>
      <c r="S187" s="44" t="s">
        <v>35</v>
      </c>
      <c r="T187" s="44" t="s">
        <v>35</v>
      </c>
      <c r="U187" s="44" t="s">
        <v>35</v>
      </c>
      <c r="V187" s="44" t="s">
        <v>35</v>
      </c>
      <c r="W187" s="40" t="s">
        <v>36</v>
      </c>
      <c r="X187" s="39" t="s">
        <v>36</v>
      </c>
      <c r="Y187" s="39" t="s">
        <v>36</v>
      </c>
      <c r="Z187" s="44" t="s">
        <v>35</v>
      </c>
      <c r="AA187" s="44" t="s">
        <v>35</v>
      </c>
      <c r="AB187" s="44" t="s">
        <v>35</v>
      </c>
      <c r="AC187" s="44" t="s">
        <v>35</v>
      </c>
      <c r="AD187" s="44" t="s">
        <v>35</v>
      </c>
      <c r="AE187" s="39"/>
      <c r="AF187" s="39" t="s">
        <v>36</v>
      </c>
      <c r="AG187" s="44" t="s">
        <v>35</v>
      </c>
      <c r="AH187" s="44" t="s">
        <v>35</v>
      </c>
      <c r="AI187" s="37">
        <v>13</v>
      </c>
      <c r="AJ187" s="35">
        <f t="shared" si="179"/>
        <v>25</v>
      </c>
      <c r="AK187" s="35">
        <v>10</v>
      </c>
      <c r="AL187" s="35">
        <f t="shared" si="180"/>
        <v>25</v>
      </c>
      <c r="AM187" s="36">
        <f t="shared" si="181"/>
        <v>33</v>
      </c>
      <c r="AN187" s="36">
        <f t="shared" si="182"/>
        <v>0</v>
      </c>
      <c r="AO187" s="36">
        <f t="shared" si="183"/>
        <v>168</v>
      </c>
      <c r="AP187" s="36">
        <f t="shared" si="184"/>
        <v>226</v>
      </c>
      <c r="AQ187" s="36">
        <v>0</v>
      </c>
      <c r="AR187" s="36">
        <v>33.5</v>
      </c>
      <c r="AS187" s="36">
        <v>0</v>
      </c>
      <c r="AT187" s="36">
        <v>0</v>
      </c>
      <c r="AU187" s="36">
        <v>0</v>
      </c>
      <c r="AV187" s="36">
        <v>0</v>
      </c>
      <c r="AW187" s="36">
        <v>0</v>
      </c>
      <c r="AX187" s="36">
        <v>0</v>
      </c>
      <c r="AY187" s="36">
        <v>0</v>
      </c>
      <c r="AZ187" s="36">
        <v>0</v>
      </c>
    </row>
    <row r="188" s="24" customFormat="1" ht="21" customHeight="1" spans="1:52">
      <c r="A188" s="42"/>
      <c r="B188" s="43"/>
      <c r="C188" s="42"/>
      <c r="D188" s="37" t="s">
        <v>37</v>
      </c>
      <c r="E188" s="38">
        <v>1.5</v>
      </c>
      <c r="F188" s="38">
        <v>1.5</v>
      </c>
      <c r="G188" s="38">
        <v>2</v>
      </c>
      <c r="H188" s="38">
        <v>1.5</v>
      </c>
      <c r="I188" s="38">
        <v>1.5</v>
      </c>
      <c r="J188" s="39">
        <v>9</v>
      </c>
      <c r="K188" s="39">
        <v>8</v>
      </c>
      <c r="L188" s="44">
        <v>1.5</v>
      </c>
      <c r="M188" s="38">
        <v>1.5</v>
      </c>
      <c r="N188" s="38"/>
      <c r="O188" s="38"/>
      <c r="P188" s="44">
        <v>1.5</v>
      </c>
      <c r="Q188" s="39">
        <v>8</v>
      </c>
      <c r="R188" s="39"/>
      <c r="S188" s="44">
        <v>1.5</v>
      </c>
      <c r="T188" s="38"/>
      <c r="U188" s="44">
        <v>1.5</v>
      </c>
      <c r="V188" s="38"/>
      <c r="W188" s="40"/>
      <c r="X188" s="39"/>
      <c r="Y188" s="39"/>
      <c r="Z188" s="44">
        <v>1.5</v>
      </c>
      <c r="AA188" s="44">
        <v>1.5</v>
      </c>
      <c r="AB188" s="44">
        <v>1.5</v>
      </c>
      <c r="AC188" s="44">
        <v>1.5</v>
      </c>
      <c r="AD188" s="38"/>
      <c r="AE188" s="39">
        <v>8</v>
      </c>
      <c r="AF188" s="39"/>
      <c r="AG188" s="44">
        <v>1.5</v>
      </c>
      <c r="AH188" s="38">
        <v>2</v>
      </c>
      <c r="AI188" s="37">
        <v>12</v>
      </c>
      <c r="AJ188" s="43"/>
      <c r="AK188" s="43"/>
      <c r="AL188" s="43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</row>
    <row r="189" s="24" customFormat="1" ht="21" customHeight="1" spans="1:52">
      <c r="A189" s="36">
        <v>93</v>
      </c>
      <c r="B189" s="35" t="s">
        <v>32</v>
      </c>
      <c r="C189" s="36" t="s">
        <v>169</v>
      </c>
      <c r="D189" s="37" t="s">
        <v>34</v>
      </c>
      <c r="E189" s="44" t="s">
        <v>35</v>
      </c>
      <c r="F189" s="44" t="s">
        <v>35</v>
      </c>
      <c r="G189" s="44" t="s">
        <v>35</v>
      </c>
      <c r="H189" s="44" t="s">
        <v>35</v>
      </c>
      <c r="I189" s="44" t="s">
        <v>35</v>
      </c>
      <c r="J189" s="39"/>
      <c r="K189" s="39"/>
      <c r="L189" s="44" t="s">
        <v>35</v>
      </c>
      <c r="M189" s="44" t="s">
        <v>35</v>
      </c>
      <c r="N189" s="44" t="s">
        <v>35</v>
      </c>
      <c r="O189" s="44" t="s">
        <v>54</v>
      </c>
      <c r="P189" s="44" t="s">
        <v>54</v>
      </c>
      <c r="Q189" s="39" t="s">
        <v>36</v>
      </c>
      <c r="R189" s="39" t="s">
        <v>36</v>
      </c>
      <c r="S189" s="44" t="s">
        <v>35</v>
      </c>
      <c r="T189" s="44" t="s">
        <v>35</v>
      </c>
      <c r="U189" s="44" t="s">
        <v>35</v>
      </c>
      <c r="V189" s="44" t="s">
        <v>35</v>
      </c>
      <c r="W189" s="40" t="s">
        <v>36</v>
      </c>
      <c r="X189" s="39" t="s">
        <v>36</v>
      </c>
      <c r="Y189" s="39" t="s">
        <v>36</v>
      </c>
      <c r="Z189" s="44" t="s">
        <v>35</v>
      </c>
      <c r="AA189" s="44" t="s">
        <v>35</v>
      </c>
      <c r="AB189" s="44" t="s">
        <v>35</v>
      </c>
      <c r="AC189" s="44" t="s">
        <v>35</v>
      </c>
      <c r="AD189" s="44" t="s">
        <v>35</v>
      </c>
      <c r="AE189" s="39"/>
      <c r="AF189" s="39"/>
      <c r="AG189" s="44" t="s">
        <v>35</v>
      </c>
      <c r="AH189" s="44" t="s">
        <v>35</v>
      </c>
      <c r="AI189" s="37">
        <v>19</v>
      </c>
      <c r="AJ189" s="35">
        <f t="shared" si="179"/>
        <v>31</v>
      </c>
      <c r="AK189" s="35">
        <v>0</v>
      </c>
      <c r="AL189" s="35">
        <f t="shared" si="180"/>
        <v>18.5</v>
      </c>
      <c r="AM189" s="36">
        <f t="shared" si="181"/>
        <v>34</v>
      </c>
      <c r="AN189" s="36">
        <f t="shared" si="182"/>
        <v>0</v>
      </c>
      <c r="AO189" s="36">
        <f t="shared" si="183"/>
        <v>168</v>
      </c>
      <c r="AP189" s="36">
        <f t="shared" si="184"/>
        <v>204.5</v>
      </c>
      <c r="AQ189" s="36">
        <v>16</v>
      </c>
      <c r="AR189" s="36">
        <f>34.5-AQ189</f>
        <v>18.5</v>
      </c>
      <c r="AS189" s="36">
        <v>0</v>
      </c>
      <c r="AT189" s="36">
        <v>0</v>
      </c>
      <c r="AU189" s="36">
        <v>0</v>
      </c>
      <c r="AV189" s="36">
        <v>0</v>
      </c>
      <c r="AW189" s="36">
        <v>0</v>
      </c>
      <c r="AX189" s="36">
        <v>0</v>
      </c>
      <c r="AY189" s="36">
        <v>0</v>
      </c>
      <c r="AZ189" s="36">
        <v>0</v>
      </c>
    </row>
    <row r="190" s="24" customFormat="1" ht="21" customHeight="1" spans="1:52">
      <c r="A190" s="42"/>
      <c r="B190" s="43"/>
      <c r="C190" s="42"/>
      <c r="D190" s="37" t="s">
        <v>37</v>
      </c>
      <c r="E190" s="38">
        <v>2</v>
      </c>
      <c r="F190" s="38"/>
      <c r="G190" s="38"/>
      <c r="H190" s="38"/>
      <c r="I190" s="38"/>
      <c r="J190" s="39">
        <v>8</v>
      </c>
      <c r="K190" s="39">
        <v>8</v>
      </c>
      <c r="L190" s="38">
        <v>2</v>
      </c>
      <c r="M190" s="38">
        <v>2.5</v>
      </c>
      <c r="N190" s="38"/>
      <c r="O190" s="38"/>
      <c r="P190" s="38"/>
      <c r="Q190" s="39"/>
      <c r="R190" s="39"/>
      <c r="S190" s="38"/>
      <c r="T190" s="38"/>
      <c r="U190" s="44">
        <v>1.5</v>
      </c>
      <c r="V190" s="38"/>
      <c r="W190" s="40"/>
      <c r="X190" s="39"/>
      <c r="Y190" s="39"/>
      <c r="Z190" s="38">
        <v>4</v>
      </c>
      <c r="AA190" s="38">
        <v>2.5</v>
      </c>
      <c r="AB190" s="38"/>
      <c r="AC190" s="38"/>
      <c r="AD190" s="38"/>
      <c r="AE190" s="39">
        <v>10</v>
      </c>
      <c r="AF190" s="39">
        <v>8</v>
      </c>
      <c r="AG190" s="38"/>
      <c r="AH190" s="38">
        <v>4</v>
      </c>
      <c r="AI190" s="37">
        <v>12</v>
      </c>
      <c r="AJ190" s="43"/>
      <c r="AK190" s="43"/>
      <c r="AL190" s="43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</row>
    <row r="191" s="24" customFormat="1" ht="21" customHeight="1" spans="1:52">
      <c r="A191" s="36">
        <v>94</v>
      </c>
      <c r="B191" s="35" t="s">
        <v>32</v>
      </c>
      <c r="C191" s="36" t="s">
        <v>170</v>
      </c>
      <c r="D191" s="37" t="s">
        <v>34</v>
      </c>
      <c r="E191" s="44" t="s">
        <v>35</v>
      </c>
      <c r="F191" s="44" t="s">
        <v>35</v>
      </c>
      <c r="G191" s="44" t="s">
        <v>35</v>
      </c>
      <c r="H191" s="44" t="s">
        <v>35</v>
      </c>
      <c r="I191" s="44" t="s">
        <v>35</v>
      </c>
      <c r="J191" s="39"/>
      <c r="K191" s="39"/>
      <c r="L191" s="44" t="s">
        <v>35</v>
      </c>
      <c r="M191" s="44" t="s">
        <v>35</v>
      </c>
      <c r="N191" s="44" t="s">
        <v>35</v>
      </c>
      <c r="O191" s="44" t="s">
        <v>35</v>
      </c>
      <c r="P191" s="44" t="s">
        <v>35</v>
      </c>
      <c r="Q191" s="39"/>
      <c r="R191" s="39"/>
      <c r="S191" s="44" t="s">
        <v>35</v>
      </c>
      <c r="T191" s="44" t="s">
        <v>35</v>
      </c>
      <c r="U191" s="44" t="s">
        <v>35</v>
      </c>
      <c r="V191" s="44" t="s">
        <v>35</v>
      </c>
      <c r="W191" s="40"/>
      <c r="X191" s="39"/>
      <c r="Y191" s="39"/>
      <c r="Z191" s="44" t="s">
        <v>35</v>
      </c>
      <c r="AA191" s="44" t="s">
        <v>35</v>
      </c>
      <c r="AB191" s="44" t="s">
        <v>35</v>
      </c>
      <c r="AC191" s="44" t="s">
        <v>35</v>
      </c>
      <c r="AD191" s="44" t="s">
        <v>42</v>
      </c>
      <c r="AE191" s="39"/>
      <c r="AF191" s="39"/>
      <c r="AG191" s="44" t="s">
        <v>35</v>
      </c>
      <c r="AH191" s="44" t="s">
        <v>35</v>
      </c>
      <c r="AI191" s="37">
        <v>21</v>
      </c>
      <c r="AJ191" s="35">
        <f t="shared" ref="AJ191:AJ195" si="185">AI191+AI192</f>
        <v>44</v>
      </c>
      <c r="AK191" s="35">
        <v>0</v>
      </c>
      <c r="AL191" s="35">
        <f t="shared" ref="AL191:AL195" si="186">E192+F192+G192+H192+I192+L192+M192+N192+O192+P192+S192+T192+U192+V192+Z192+AA192+AB192+AC192+AD192+AG192+AH192</f>
        <v>35.5</v>
      </c>
      <c r="AM191" s="36">
        <f t="shared" ref="AM191:AM195" si="187">J192+K192+Q192+R192+X192+Y192+AE192+AF192</f>
        <v>61</v>
      </c>
      <c r="AN191" s="36">
        <f t="shared" ref="AN191:AN195" si="188">W192</f>
        <v>10</v>
      </c>
      <c r="AO191" s="36">
        <f t="shared" ref="AO191:AO195" si="189">21*8</f>
        <v>168</v>
      </c>
      <c r="AP191" s="36">
        <f t="shared" ref="AP191:AP195" si="190">AL191+AM191+AN191+AO191-AQ191-AS191-AT191-AV191-AW191-AX191-AY191-AZ191-AU191</f>
        <v>270</v>
      </c>
      <c r="AQ191" s="36">
        <v>0</v>
      </c>
      <c r="AR191" s="36">
        <v>0</v>
      </c>
      <c r="AS191" s="36">
        <v>0</v>
      </c>
      <c r="AT191" s="36">
        <v>4.5</v>
      </c>
      <c r="AU191" s="36">
        <v>0</v>
      </c>
      <c r="AV191" s="36">
        <v>0</v>
      </c>
      <c r="AW191" s="36">
        <v>0</v>
      </c>
      <c r="AX191" s="36">
        <v>0</v>
      </c>
      <c r="AY191" s="36">
        <v>0</v>
      </c>
      <c r="AZ191" s="36">
        <v>0</v>
      </c>
    </row>
    <row r="192" s="24" customFormat="1" ht="21" customHeight="1" spans="1:52">
      <c r="A192" s="42"/>
      <c r="B192" s="43"/>
      <c r="C192" s="42"/>
      <c r="D192" s="37" t="s">
        <v>37</v>
      </c>
      <c r="E192" s="38">
        <v>3</v>
      </c>
      <c r="F192" s="38"/>
      <c r="G192" s="38">
        <v>4</v>
      </c>
      <c r="H192" s="38"/>
      <c r="I192" s="38"/>
      <c r="J192" s="39">
        <v>7.5</v>
      </c>
      <c r="K192" s="39">
        <v>8</v>
      </c>
      <c r="L192" s="38"/>
      <c r="M192" s="38"/>
      <c r="N192" s="38">
        <v>2.5</v>
      </c>
      <c r="O192" s="38">
        <v>2</v>
      </c>
      <c r="P192" s="38">
        <v>2</v>
      </c>
      <c r="Q192" s="39">
        <v>11</v>
      </c>
      <c r="R192" s="39">
        <v>8</v>
      </c>
      <c r="S192" s="38">
        <v>3.5</v>
      </c>
      <c r="T192" s="38">
        <v>3</v>
      </c>
      <c r="U192" s="38">
        <v>3</v>
      </c>
      <c r="V192" s="38"/>
      <c r="W192" s="40">
        <v>10</v>
      </c>
      <c r="X192" s="39">
        <v>2.5</v>
      </c>
      <c r="Y192" s="39">
        <v>8</v>
      </c>
      <c r="Z192" s="38">
        <v>2</v>
      </c>
      <c r="AA192" s="38">
        <v>2</v>
      </c>
      <c r="AB192" s="38">
        <v>2</v>
      </c>
      <c r="AC192" s="38"/>
      <c r="AD192" s="38"/>
      <c r="AE192" s="39">
        <v>8</v>
      </c>
      <c r="AF192" s="39">
        <v>8</v>
      </c>
      <c r="AG192" s="38">
        <v>3.5</v>
      </c>
      <c r="AH192" s="38">
        <v>3</v>
      </c>
      <c r="AI192" s="37">
        <v>23</v>
      </c>
      <c r="AJ192" s="43"/>
      <c r="AK192" s="43"/>
      <c r="AL192" s="43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</row>
    <row r="193" s="24" customFormat="1" ht="21" customHeight="1" spans="1:52">
      <c r="A193" s="36">
        <v>95</v>
      </c>
      <c r="B193" s="35" t="s">
        <v>32</v>
      </c>
      <c r="C193" s="36" t="s">
        <v>171</v>
      </c>
      <c r="D193" s="37" t="s">
        <v>34</v>
      </c>
      <c r="E193" s="44" t="s">
        <v>35</v>
      </c>
      <c r="F193" s="44" t="s">
        <v>35</v>
      </c>
      <c r="G193" s="44" t="s">
        <v>35</v>
      </c>
      <c r="H193" s="44" t="s">
        <v>35</v>
      </c>
      <c r="I193" s="44" t="s">
        <v>35</v>
      </c>
      <c r="J193" s="39"/>
      <c r="K193" s="39" t="s">
        <v>36</v>
      </c>
      <c r="L193" s="44" t="s">
        <v>35</v>
      </c>
      <c r="M193" s="44" t="s">
        <v>35</v>
      </c>
      <c r="N193" s="44" t="s">
        <v>35</v>
      </c>
      <c r="O193" s="44" t="s">
        <v>35</v>
      </c>
      <c r="P193" s="44" t="s">
        <v>35</v>
      </c>
      <c r="Q193" s="39" t="s">
        <v>36</v>
      </c>
      <c r="R193" s="39" t="s">
        <v>36</v>
      </c>
      <c r="S193" s="44" t="s">
        <v>35</v>
      </c>
      <c r="T193" s="44" t="s">
        <v>35</v>
      </c>
      <c r="U193" s="44" t="s">
        <v>35</v>
      </c>
      <c r="V193" s="44" t="s">
        <v>35</v>
      </c>
      <c r="W193" s="40"/>
      <c r="X193" s="39" t="s">
        <v>36</v>
      </c>
      <c r="Y193" s="39"/>
      <c r="Z193" s="44" t="s">
        <v>35</v>
      </c>
      <c r="AA193" s="44" t="s">
        <v>35</v>
      </c>
      <c r="AB193" s="44" t="s">
        <v>35</v>
      </c>
      <c r="AC193" s="44" t="s">
        <v>35</v>
      </c>
      <c r="AD193" s="44" t="s">
        <v>35</v>
      </c>
      <c r="AE193" s="39"/>
      <c r="AF193" s="39" t="s">
        <v>36</v>
      </c>
      <c r="AG193" s="44" t="s">
        <v>35</v>
      </c>
      <c r="AH193" s="44" t="s">
        <v>35</v>
      </c>
      <c r="AI193" s="37">
        <v>21</v>
      </c>
      <c r="AJ193" s="35">
        <f t="shared" si="185"/>
        <v>38</v>
      </c>
      <c r="AK193" s="35">
        <v>0</v>
      </c>
      <c r="AL193" s="35">
        <f t="shared" si="186"/>
        <v>43.5</v>
      </c>
      <c r="AM193" s="36">
        <f t="shared" si="187"/>
        <v>18.5</v>
      </c>
      <c r="AN193" s="36">
        <f t="shared" si="188"/>
        <v>6.5</v>
      </c>
      <c r="AO193" s="36">
        <f t="shared" si="189"/>
        <v>168</v>
      </c>
      <c r="AP193" s="36">
        <f t="shared" si="190"/>
        <v>236.5</v>
      </c>
      <c r="AQ193" s="36">
        <v>0</v>
      </c>
      <c r="AR193" s="36">
        <v>18</v>
      </c>
      <c r="AS193" s="36">
        <v>0</v>
      </c>
      <c r="AT193" s="36">
        <v>0</v>
      </c>
      <c r="AU193" s="36">
        <v>0</v>
      </c>
      <c r="AV193" s="36">
        <v>0</v>
      </c>
      <c r="AW193" s="36">
        <v>0</v>
      </c>
      <c r="AX193" s="36">
        <v>0</v>
      </c>
      <c r="AY193" s="36">
        <v>0</v>
      </c>
      <c r="AZ193" s="36">
        <v>0</v>
      </c>
    </row>
    <row r="194" s="24" customFormat="1" ht="21" customHeight="1" spans="1:52">
      <c r="A194" s="42"/>
      <c r="B194" s="43"/>
      <c r="C194" s="42"/>
      <c r="D194" s="37" t="s">
        <v>37</v>
      </c>
      <c r="E194" s="38">
        <v>3</v>
      </c>
      <c r="F194" s="38"/>
      <c r="G194" s="38">
        <v>3</v>
      </c>
      <c r="H194" s="38">
        <v>3</v>
      </c>
      <c r="I194" s="38"/>
      <c r="J194" s="39">
        <v>6</v>
      </c>
      <c r="K194" s="39"/>
      <c r="L194" s="38">
        <v>3.5</v>
      </c>
      <c r="M194" s="38">
        <v>3</v>
      </c>
      <c r="N194" s="38"/>
      <c r="O194" s="38">
        <v>2.5</v>
      </c>
      <c r="P194" s="38"/>
      <c r="Q194" s="39"/>
      <c r="R194" s="39"/>
      <c r="S194" s="38">
        <v>3.5</v>
      </c>
      <c r="T194" s="38"/>
      <c r="U194" s="38">
        <v>4.5</v>
      </c>
      <c r="V194" s="38"/>
      <c r="W194" s="40">
        <v>6.5</v>
      </c>
      <c r="X194" s="39"/>
      <c r="Y194" s="39">
        <v>5</v>
      </c>
      <c r="Z194" s="38">
        <v>4</v>
      </c>
      <c r="AA194" s="38">
        <v>4.5</v>
      </c>
      <c r="AB194" s="38">
        <v>4.5</v>
      </c>
      <c r="AC194" s="38">
        <v>2</v>
      </c>
      <c r="AD194" s="38"/>
      <c r="AE194" s="39">
        <v>7.5</v>
      </c>
      <c r="AF194" s="39"/>
      <c r="AG194" s="38"/>
      <c r="AH194" s="38">
        <v>2.5</v>
      </c>
      <c r="AI194" s="37">
        <v>17</v>
      </c>
      <c r="AJ194" s="43"/>
      <c r="AK194" s="43"/>
      <c r="AL194" s="43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</row>
    <row r="195" s="24" customFormat="1" ht="21" customHeight="1" spans="1:52">
      <c r="A195" s="36">
        <v>96</v>
      </c>
      <c r="B195" s="35" t="s">
        <v>40</v>
      </c>
      <c r="C195" s="36" t="s">
        <v>172</v>
      </c>
      <c r="D195" s="37" t="s">
        <v>34</v>
      </c>
      <c r="E195" s="44" t="s">
        <v>39</v>
      </c>
      <c r="F195" s="44" t="s">
        <v>39</v>
      </c>
      <c r="G195" s="44" t="s">
        <v>39</v>
      </c>
      <c r="H195" s="44" t="s">
        <v>39</v>
      </c>
      <c r="I195" s="44" t="s">
        <v>39</v>
      </c>
      <c r="J195" s="39" t="s">
        <v>39</v>
      </c>
      <c r="K195" s="39" t="s">
        <v>36</v>
      </c>
      <c r="L195" s="44" t="s">
        <v>35</v>
      </c>
      <c r="M195" s="44" t="s">
        <v>35</v>
      </c>
      <c r="N195" s="44" t="s">
        <v>35</v>
      </c>
      <c r="O195" s="44" t="s">
        <v>35</v>
      </c>
      <c r="P195" s="44" t="s">
        <v>35</v>
      </c>
      <c r="Q195" s="39"/>
      <c r="R195" s="39" t="s">
        <v>36</v>
      </c>
      <c r="S195" s="44" t="s">
        <v>35</v>
      </c>
      <c r="T195" s="44" t="s">
        <v>35</v>
      </c>
      <c r="U195" s="44" t="s">
        <v>35</v>
      </c>
      <c r="V195" s="44" t="s">
        <v>35</v>
      </c>
      <c r="W195" s="40" t="s">
        <v>36</v>
      </c>
      <c r="X195" s="39" t="s">
        <v>36</v>
      </c>
      <c r="Y195" s="39" t="s">
        <v>36</v>
      </c>
      <c r="Z195" s="44" t="s">
        <v>35</v>
      </c>
      <c r="AA195" s="44" t="s">
        <v>35</v>
      </c>
      <c r="AB195" s="44" t="s">
        <v>35</v>
      </c>
      <c r="AC195" s="44" t="s">
        <v>35</v>
      </c>
      <c r="AD195" s="44" t="s">
        <v>35</v>
      </c>
      <c r="AE195" s="39" t="s">
        <v>36</v>
      </c>
      <c r="AF195" s="39" t="s">
        <v>39</v>
      </c>
      <c r="AG195" s="44" t="s">
        <v>39</v>
      </c>
      <c r="AH195" s="44" t="s">
        <v>39</v>
      </c>
      <c r="AI195" s="37">
        <v>14</v>
      </c>
      <c r="AJ195" s="35">
        <f t="shared" si="185"/>
        <v>19</v>
      </c>
      <c r="AK195" s="35">
        <v>9</v>
      </c>
      <c r="AL195" s="35">
        <f t="shared" si="186"/>
        <v>29.5</v>
      </c>
      <c r="AM195" s="36">
        <f t="shared" si="187"/>
        <v>24</v>
      </c>
      <c r="AN195" s="36">
        <f t="shared" si="188"/>
        <v>0</v>
      </c>
      <c r="AO195" s="36">
        <f t="shared" si="189"/>
        <v>168</v>
      </c>
      <c r="AP195" s="36">
        <f t="shared" si="190"/>
        <v>221.5</v>
      </c>
      <c r="AQ195" s="36">
        <v>0</v>
      </c>
      <c r="AR195" s="36">
        <v>8</v>
      </c>
      <c r="AS195" s="36">
        <v>0</v>
      </c>
      <c r="AT195" s="36">
        <v>0</v>
      </c>
      <c r="AU195" s="36">
        <v>0</v>
      </c>
      <c r="AV195" s="36">
        <v>0</v>
      </c>
      <c r="AW195" s="36">
        <v>0</v>
      </c>
      <c r="AX195" s="36">
        <v>0</v>
      </c>
      <c r="AY195" s="36">
        <v>0</v>
      </c>
      <c r="AZ195" s="36">
        <v>0</v>
      </c>
    </row>
    <row r="196" s="24" customFormat="1" ht="21" customHeight="1" spans="1:52">
      <c r="A196" s="42"/>
      <c r="B196" s="43"/>
      <c r="C196" s="42"/>
      <c r="D196" s="37" t="s">
        <v>37</v>
      </c>
      <c r="E196" s="38">
        <v>1.5</v>
      </c>
      <c r="F196" s="38">
        <v>4</v>
      </c>
      <c r="G196" s="38"/>
      <c r="H196" s="38"/>
      <c r="I196" s="38">
        <v>1.5</v>
      </c>
      <c r="J196" s="39">
        <v>8</v>
      </c>
      <c r="K196" s="39"/>
      <c r="L196" s="38">
        <v>1</v>
      </c>
      <c r="M196" s="38">
        <v>2</v>
      </c>
      <c r="N196" s="38"/>
      <c r="O196" s="38">
        <v>1</v>
      </c>
      <c r="P196" s="38">
        <v>1.5</v>
      </c>
      <c r="Q196" s="39">
        <v>8</v>
      </c>
      <c r="R196" s="39"/>
      <c r="S196" s="38"/>
      <c r="T196" s="38"/>
      <c r="U196" s="38"/>
      <c r="V196" s="38"/>
      <c r="W196" s="40"/>
      <c r="X196" s="39"/>
      <c r="Y196" s="39"/>
      <c r="Z196" s="38"/>
      <c r="AA196" s="38">
        <v>2</v>
      </c>
      <c r="AB196" s="38">
        <v>2</v>
      </c>
      <c r="AC196" s="38">
        <v>2</v>
      </c>
      <c r="AD196" s="38">
        <v>2</v>
      </c>
      <c r="AE196" s="39"/>
      <c r="AF196" s="39">
        <v>8</v>
      </c>
      <c r="AG196" s="38">
        <v>9</v>
      </c>
      <c r="AH196" s="38"/>
      <c r="AI196" s="37">
        <v>5</v>
      </c>
      <c r="AJ196" s="43"/>
      <c r="AK196" s="43"/>
      <c r="AL196" s="43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</row>
    <row r="197" s="24" customFormat="1" ht="21" customHeight="1" spans="1:52">
      <c r="A197" s="36">
        <v>97</v>
      </c>
      <c r="B197" s="35" t="s">
        <v>32</v>
      </c>
      <c r="C197" s="36" t="s">
        <v>173</v>
      </c>
      <c r="D197" s="37" t="s">
        <v>34</v>
      </c>
      <c r="E197" s="44" t="s">
        <v>35</v>
      </c>
      <c r="F197" s="44" t="s">
        <v>35</v>
      </c>
      <c r="G197" s="44" t="s">
        <v>35</v>
      </c>
      <c r="H197" s="44" t="s">
        <v>35</v>
      </c>
      <c r="I197" s="44" t="s">
        <v>35</v>
      </c>
      <c r="J197" s="39"/>
      <c r="K197" s="39" t="s">
        <v>36</v>
      </c>
      <c r="L197" s="44" t="s">
        <v>35</v>
      </c>
      <c r="M197" s="44" t="s">
        <v>35</v>
      </c>
      <c r="N197" s="44" t="s">
        <v>35</v>
      </c>
      <c r="O197" s="44" t="s">
        <v>35</v>
      </c>
      <c r="P197" s="44" t="s">
        <v>35</v>
      </c>
      <c r="Q197" s="39" t="s">
        <v>36</v>
      </c>
      <c r="R197" s="39" t="s">
        <v>36</v>
      </c>
      <c r="S197" s="44" t="s">
        <v>35</v>
      </c>
      <c r="T197" s="44" t="s">
        <v>35</v>
      </c>
      <c r="U197" s="44" t="s">
        <v>35</v>
      </c>
      <c r="V197" s="44" t="s">
        <v>35</v>
      </c>
      <c r="W197" s="40" t="s">
        <v>36</v>
      </c>
      <c r="X197" s="39" t="s">
        <v>36</v>
      </c>
      <c r="Y197" s="39" t="s">
        <v>36</v>
      </c>
      <c r="Z197" s="44" t="s">
        <v>35</v>
      </c>
      <c r="AA197" s="44" t="s">
        <v>35</v>
      </c>
      <c r="AB197" s="44" t="s">
        <v>35</v>
      </c>
      <c r="AC197" s="44" t="s">
        <v>35</v>
      </c>
      <c r="AD197" s="44" t="s">
        <v>35</v>
      </c>
      <c r="AE197" s="39"/>
      <c r="AF197" s="39" t="s">
        <v>36</v>
      </c>
      <c r="AG197" s="44" t="s">
        <v>35</v>
      </c>
      <c r="AH197" s="44" t="s">
        <v>35</v>
      </c>
      <c r="AI197" s="37">
        <v>21</v>
      </c>
      <c r="AJ197" s="35">
        <f t="shared" ref="AJ197:AJ201" si="191">AI197+AI198</f>
        <v>25</v>
      </c>
      <c r="AK197" s="35">
        <v>0</v>
      </c>
      <c r="AL197" s="35">
        <f t="shared" ref="AL197:AL201" si="192">E198+F198+G198+H198+I198+L198+M198+N198+O198+P198+S198+T198+U198+V198+Z198+AA198+AB198+AC198+AD198+AG198+AH198</f>
        <v>4</v>
      </c>
      <c r="AM197" s="36">
        <f t="shared" ref="AM197:AM201" si="193">J198+K198+Q198+R198+X198+Y198+AE198+AF198</f>
        <v>12.5</v>
      </c>
      <c r="AN197" s="36">
        <f t="shared" ref="AN197:AN201" si="194">W198</f>
        <v>0</v>
      </c>
      <c r="AO197" s="36">
        <f t="shared" ref="AO197:AO201" si="195">21*8</f>
        <v>168</v>
      </c>
      <c r="AP197" s="36">
        <f t="shared" ref="AP197:AP201" si="196">AL197+AM197+AN197+AO197-AQ197-AS197-AT197-AV197-AW197-AX197-AY197-AZ197-AU197</f>
        <v>184.5</v>
      </c>
      <c r="AQ197" s="36">
        <v>0</v>
      </c>
      <c r="AR197" s="36">
        <v>0</v>
      </c>
      <c r="AS197" s="36">
        <v>0</v>
      </c>
      <c r="AT197" s="36">
        <v>0</v>
      </c>
      <c r="AU197" s="36">
        <v>0</v>
      </c>
      <c r="AV197" s="36">
        <v>0</v>
      </c>
      <c r="AW197" s="36">
        <v>0</v>
      </c>
      <c r="AX197" s="36">
        <v>0</v>
      </c>
      <c r="AY197" s="36">
        <v>0</v>
      </c>
      <c r="AZ197" s="36">
        <v>0</v>
      </c>
    </row>
    <row r="198" s="24" customFormat="1" ht="21" customHeight="1" spans="1:52">
      <c r="A198" s="42"/>
      <c r="B198" s="43"/>
      <c r="C198" s="42"/>
      <c r="D198" s="37" t="s">
        <v>37</v>
      </c>
      <c r="E198" s="38"/>
      <c r="F198" s="38"/>
      <c r="G198" s="38"/>
      <c r="H198" s="38"/>
      <c r="I198" s="38"/>
      <c r="J198" s="39">
        <v>9</v>
      </c>
      <c r="K198" s="39"/>
      <c r="L198" s="38"/>
      <c r="M198" s="38"/>
      <c r="N198" s="38"/>
      <c r="O198" s="38"/>
      <c r="P198" s="38"/>
      <c r="Q198" s="39"/>
      <c r="R198" s="39"/>
      <c r="S198" s="38"/>
      <c r="T198" s="44">
        <v>1.5</v>
      </c>
      <c r="U198" s="38"/>
      <c r="V198" s="38"/>
      <c r="W198" s="40"/>
      <c r="X198" s="39"/>
      <c r="Y198" s="39"/>
      <c r="Z198" s="38"/>
      <c r="AA198" s="38"/>
      <c r="AB198" s="38">
        <v>1.5</v>
      </c>
      <c r="AC198" s="38"/>
      <c r="AD198" s="38"/>
      <c r="AE198" s="39">
        <v>3.5</v>
      </c>
      <c r="AF198" s="39"/>
      <c r="AG198" s="38">
        <v>1</v>
      </c>
      <c r="AH198" s="38"/>
      <c r="AI198" s="37">
        <v>4</v>
      </c>
      <c r="AJ198" s="43"/>
      <c r="AK198" s="43"/>
      <c r="AL198" s="43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</row>
    <row r="199" s="24" customFormat="1" ht="21" customHeight="1" spans="1:52">
      <c r="A199" s="36">
        <v>98</v>
      </c>
      <c r="B199" s="35" t="s">
        <v>32</v>
      </c>
      <c r="C199" s="36" t="s">
        <v>174</v>
      </c>
      <c r="D199" s="37" t="s">
        <v>34</v>
      </c>
      <c r="E199" s="44" t="s">
        <v>39</v>
      </c>
      <c r="F199" s="44" t="s">
        <v>39</v>
      </c>
      <c r="G199" s="44" t="s">
        <v>39</v>
      </c>
      <c r="H199" s="44" t="s">
        <v>39</v>
      </c>
      <c r="I199" s="44" t="s">
        <v>39</v>
      </c>
      <c r="J199" s="39" t="s">
        <v>36</v>
      </c>
      <c r="K199" s="39" t="s">
        <v>36</v>
      </c>
      <c r="L199" s="44" t="s">
        <v>35</v>
      </c>
      <c r="M199" s="44" t="s">
        <v>175</v>
      </c>
      <c r="N199" s="44" t="s">
        <v>35</v>
      </c>
      <c r="O199" s="44" t="s">
        <v>35</v>
      </c>
      <c r="P199" s="44" t="s">
        <v>35</v>
      </c>
      <c r="Q199" s="39" t="s">
        <v>36</v>
      </c>
      <c r="R199" s="39" t="s">
        <v>36</v>
      </c>
      <c r="S199" s="44" t="s">
        <v>35</v>
      </c>
      <c r="T199" s="44" t="s">
        <v>39</v>
      </c>
      <c r="U199" s="44" t="s">
        <v>39</v>
      </c>
      <c r="V199" s="44" t="s">
        <v>39</v>
      </c>
      <c r="W199" s="40" t="s">
        <v>36</v>
      </c>
      <c r="X199" s="39" t="s">
        <v>36</v>
      </c>
      <c r="Y199" s="39" t="s">
        <v>36</v>
      </c>
      <c r="Z199" s="44" t="s">
        <v>54</v>
      </c>
      <c r="AA199" s="44" t="s">
        <v>35</v>
      </c>
      <c r="AB199" s="44" t="s">
        <v>35</v>
      </c>
      <c r="AC199" s="44" t="s">
        <v>35</v>
      </c>
      <c r="AD199" s="44" t="s">
        <v>35</v>
      </c>
      <c r="AE199" s="39" t="s">
        <v>36</v>
      </c>
      <c r="AF199" s="39" t="s">
        <v>36</v>
      </c>
      <c r="AG199" s="44" t="s">
        <v>39</v>
      </c>
      <c r="AH199" s="44" t="s">
        <v>39</v>
      </c>
      <c r="AI199" s="37">
        <v>10</v>
      </c>
      <c r="AJ199" s="35">
        <f t="shared" si="191"/>
        <v>12</v>
      </c>
      <c r="AK199" s="35">
        <v>10</v>
      </c>
      <c r="AL199" s="35">
        <f t="shared" si="192"/>
        <v>0</v>
      </c>
      <c r="AM199" s="36">
        <f t="shared" si="193"/>
        <v>0</v>
      </c>
      <c r="AN199" s="36">
        <f t="shared" si="194"/>
        <v>0</v>
      </c>
      <c r="AO199" s="36">
        <f t="shared" si="195"/>
        <v>168</v>
      </c>
      <c r="AP199" s="36">
        <f t="shared" si="196"/>
        <v>158.5</v>
      </c>
      <c r="AQ199" s="36">
        <v>9.5</v>
      </c>
      <c r="AR199" s="36">
        <f>20.5-AQ199</f>
        <v>11</v>
      </c>
      <c r="AS199" s="36">
        <v>0</v>
      </c>
      <c r="AT199" s="36">
        <v>0</v>
      </c>
      <c r="AU199" s="36">
        <v>0</v>
      </c>
      <c r="AV199" s="36">
        <v>0</v>
      </c>
      <c r="AW199" s="36">
        <v>0</v>
      </c>
      <c r="AX199" s="36">
        <v>0</v>
      </c>
      <c r="AY199" s="36">
        <v>0</v>
      </c>
      <c r="AZ199" s="36">
        <v>0</v>
      </c>
    </row>
    <row r="200" s="24" customFormat="1" ht="21" customHeight="1" spans="1:52">
      <c r="A200" s="42"/>
      <c r="B200" s="43"/>
      <c r="C200" s="42"/>
      <c r="D200" s="37" t="s">
        <v>37</v>
      </c>
      <c r="E200" s="38"/>
      <c r="F200" s="38"/>
      <c r="G200" s="38"/>
      <c r="H200" s="38"/>
      <c r="I200" s="38"/>
      <c r="J200" s="39"/>
      <c r="K200" s="39"/>
      <c r="L200" s="38"/>
      <c r="M200" s="38"/>
      <c r="N200" s="38"/>
      <c r="O200" s="38"/>
      <c r="P200" s="38"/>
      <c r="Q200" s="39"/>
      <c r="R200" s="39"/>
      <c r="S200" s="38"/>
      <c r="T200" s="38"/>
      <c r="U200" s="38"/>
      <c r="V200" s="38"/>
      <c r="W200" s="40"/>
      <c r="X200" s="39"/>
      <c r="Y200" s="39"/>
      <c r="Z200" s="38"/>
      <c r="AA200" s="38"/>
      <c r="AB200" s="38"/>
      <c r="AC200" s="38"/>
      <c r="AD200" s="38"/>
      <c r="AE200" s="39"/>
      <c r="AF200" s="39"/>
      <c r="AG200" s="38"/>
      <c r="AH200" s="38"/>
      <c r="AI200" s="37">
        <v>2</v>
      </c>
      <c r="AJ200" s="43"/>
      <c r="AK200" s="43"/>
      <c r="AL200" s="43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</row>
    <row r="201" s="24" customFormat="1" ht="21" customHeight="1" spans="1:52">
      <c r="A201" s="36">
        <v>99</v>
      </c>
      <c r="B201" s="35" t="s">
        <v>32</v>
      </c>
      <c r="C201" s="36" t="s">
        <v>176</v>
      </c>
      <c r="D201" s="37" t="s">
        <v>34</v>
      </c>
      <c r="E201" s="44" t="s">
        <v>35</v>
      </c>
      <c r="F201" s="44" t="s">
        <v>35</v>
      </c>
      <c r="G201" s="44" t="s">
        <v>39</v>
      </c>
      <c r="H201" s="44" t="s">
        <v>39</v>
      </c>
      <c r="I201" s="44" t="s">
        <v>39</v>
      </c>
      <c r="J201" s="39"/>
      <c r="K201" s="39"/>
      <c r="L201" s="44" t="s">
        <v>35</v>
      </c>
      <c r="M201" s="44" t="s">
        <v>35</v>
      </c>
      <c r="N201" s="44" t="s">
        <v>35</v>
      </c>
      <c r="O201" s="44" t="s">
        <v>35</v>
      </c>
      <c r="P201" s="44" t="s">
        <v>35</v>
      </c>
      <c r="Q201" s="39"/>
      <c r="R201" s="39"/>
      <c r="S201" s="44" t="s">
        <v>39</v>
      </c>
      <c r="T201" s="44" t="s">
        <v>39</v>
      </c>
      <c r="U201" s="44" t="s">
        <v>39</v>
      </c>
      <c r="V201" s="44" t="s">
        <v>97</v>
      </c>
      <c r="W201" s="40" t="s">
        <v>36</v>
      </c>
      <c r="X201" s="39" t="s">
        <v>36</v>
      </c>
      <c r="Y201" s="39" t="s">
        <v>36</v>
      </c>
      <c r="Z201" s="44" t="s">
        <v>35</v>
      </c>
      <c r="AA201" s="44" t="s">
        <v>35</v>
      </c>
      <c r="AB201" s="44" t="s">
        <v>35</v>
      </c>
      <c r="AC201" s="44" t="s">
        <v>35</v>
      </c>
      <c r="AD201" s="44" t="s">
        <v>107</v>
      </c>
      <c r="AE201" s="39" t="s">
        <v>36</v>
      </c>
      <c r="AF201" s="39" t="s">
        <v>36</v>
      </c>
      <c r="AG201" s="44" t="s">
        <v>35</v>
      </c>
      <c r="AH201" s="44" t="s">
        <v>35</v>
      </c>
      <c r="AI201" s="37">
        <v>14</v>
      </c>
      <c r="AJ201" s="35">
        <f t="shared" si="191"/>
        <v>33</v>
      </c>
      <c r="AK201" s="35">
        <v>6</v>
      </c>
      <c r="AL201" s="35">
        <f t="shared" si="192"/>
        <v>29.5</v>
      </c>
      <c r="AM201" s="36">
        <f t="shared" si="193"/>
        <v>42</v>
      </c>
      <c r="AN201" s="36">
        <f t="shared" si="194"/>
        <v>0</v>
      </c>
      <c r="AO201" s="36">
        <f t="shared" si="195"/>
        <v>168</v>
      </c>
      <c r="AP201" s="36">
        <f t="shared" si="196"/>
        <v>227</v>
      </c>
      <c r="AQ201" s="36">
        <v>12.5</v>
      </c>
      <c r="AR201" s="36">
        <f>24-AQ201</f>
        <v>11.5</v>
      </c>
      <c r="AS201" s="36">
        <v>0</v>
      </c>
      <c r="AT201" s="36">
        <v>0</v>
      </c>
      <c r="AU201" s="36">
        <v>0</v>
      </c>
      <c r="AV201" s="36">
        <v>0</v>
      </c>
      <c r="AW201" s="36">
        <v>0</v>
      </c>
      <c r="AX201" s="36">
        <v>0</v>
      </c>
      <c r="AY201" s="36">
        <v>0</v>
      </c>
      <c r="AZ201" s="36">
        <v>0</v>
      </c>
    </row>
    <row r="202" s="24" customFormat="1" ht="21" customHeight="1" spans="1:52">
      <c r="A202" s="42"/>
      <c r="B202" s="43"/>
      <c r="C202" s="42"/>
      <c r="D202" s="37" t="s">
        <v>37</v>
      </c>
      <c r="E202" s="38">
        <v>3</v>
      </c>
      <c r="F202" s="38"/>
      <c r="G202" s="38"/>
      <c r="H202" s="38"/>
      <c r="I202" s="38"/>
      <c r="J202" s="39">
        <v>13</v>
      </c>
      <c r="K202" s="39">
        <v>8</v>
      </c>
      <c r="L202" s="38">
        <v>5</v>
      </c>
      <c r="M202" s="38">
        <v>3</v>
      </c>
      <c r="N202" s="38">
        <v>3</v>
      </c>
      <c r="O202" s="38">
        <v>3</v>
      </c>
      <c r="P202" s="38">
        <v>3</v>
      </c>
      <c r="Q202" s="39">
        <v>11</v>
      </c>
      <c r="R202" s="39">
        <v>10</v>
      </c>
      <c r="S202" s="38"/>
      <c r="T202" s="38"/>
      <c r="U202" s="38"/>
      <c r="V202" s="38"/>
      <c r="W202" s="40"/>
      <c r="X202" s="39"/>
      <c r="Y202" s="39"/>
      <c r="Z202" s="44">
        <v>1.5</v>
      </c>
      <c r="AA202" s="44">
        <v>1.5</v>
      </c>
      <c r="AB202" s="44">
        <v>1.5</v>
      </c>
      <c r="AC202" s="44">
        <v>1.5</v>
      </c>
      <c r="AD202" s="38"/>
      <c r="AE202" s="39"/>
      <c r="AF202" s="39"/>
      <c r="AG202" s="38">
        <v>2</v>
      </c>
      <c r="AH202" s="44">
        <v>1.5</v>
      </c>
      <c r="AI202" s="37">
        <v>19</v>
      </c>
      <c r="AJ202" s="43"/>
      <c r="AK202" s="43"/>
      <c r="AL202" s="43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</row>
    <row r="203" s="24" customFormat="1" ht="21" customHeight="1" spans="1:52">
      <c r="A203" s="36">
        <v>100</v>
      </c>
      <c r="B203" s="35" t="s">
        <v>32</v>
      </c>
      <c r="C203" s="36" t="s">
        <v>177</v>
      </c>
      <c r="D203" s="37" t="s">
        <v>34</v>
      </c>
      <c r="E203" s="44" t="s">
        <v>35</v>
      </c>
      <c r="F203" s="44" t="s">
        <v>35</v>
      </c>
      <c r="G203" s="44" t="s">
        <v>35</v>
      </c>
      <c r="H203" s="44" t="s">
        <v>35</v>
      </c>
      <c r="I203" s="44" t="s">
        <v>35</v>
      </c>
      <c r="J203" s="39" t="s">
        <v>36</v>
      </c>
      <c r="K203" s="39" t="s">
        <v>36</v>
      </c>
      <c r="L203" s="44" t="s">
        <v>35</v>
      </c>
      <c r="M203" s="44" t="s">
        <v>35</v>
      </c>
      <c r="N203" s="44" t="s">
        <v>35</v>
      </c>
      <c r="O203" s="44" t="s">
        <v>35</v>
      </c>
      <c r="P203" s="44" t="s">
        <v>35</v>
      </c>
      <c r="Q203" s="39" t="s">
        <v>36</v>
      </c>
      <c r="R203" s="39" t="s">
        <v>36</v>
      </c>
      <c r="S203" s="44" t="s">
        <v>35</v>
      </c>
      <c r="T203" s="44" t="s">
        <v>35</v>
      </c>
      <c r="U203" s="44" t="s">
        <v>35</v>
      </c>
      <c r="V203" s="44" t="s">
        <v>35</v>
      </c>
      <c r="W203" s="40" t="s">
        <v>36</v>
      </c>
      <c r="X203" s="39" t="s">
        <v>36</v>
      </c>
      <c r="Y203" s="39" t="s">
        <v>36</v>
      </c>
      <c r="Z203" s="44" t="s">
        <v>35</v>
      </c>
      <c r="AA203" s="44" t="s">
        <v>35</v>
      </c>
      <c r="AB203" s="44" t="s">
        <v>35</v>
      </c>
      <c r="AC203" s="44" t="s">
        <v>35</v>
      </c>
      <c r="AD203" s="44" t="s">
        <v>35</v>
      </c>
      <c r="AE203" s="39" t="s">
        <v>36</v>
      </c>
      <c r="AF203" s="39" t="s">
        <v>36</v>
      </c>
      <c r="AG203" s="44" t="s">
        <v>35</v>
      </c>
      <c r="AH203" s="44" t="s">
        <v>35</v>
      </c>
      <c r="AI203" s="37">
        <v>21</v>
      </c>
      <c r="AJ203" s="35">
        <f t="shared" ref="AJ203:AJ207" si="197">AI203+AI204</f>
        <v>22</v>
      </c>
      <c r="AK203" s="35">
        <v>0</v>
      </c>
      <c r="AL203" s="35">
        <f t="shared" ref="AL203:AL207" si="198">E204+F204+G204+H204+I204+L204+M204+N204+O204+P204+S204+T204+U204+V204+Z204+AA204+AB204+AC204+AD204+AG204+AH204</f>
        <v>0</v>
      </c>
      <c r="AM203" s="36">
        <f t="shared" ref="AM203:AM207" si="199">J204+K204+Q204+R204+X204+Y204+AE204+AF204</f>
        <v>0</v>
      </c>
      <c r="AN203" s="36">
        <f t="shared" ref="AN203:AN207" si="200">W204</f>
        <v>0</v>
      </c>
      <c r="AO203" s="36">
        <f t="shared" ref="AO203:AO207" si="201">21*8</f>
        <v>168</v>
      </c>
      <c r="AP203" s="36">
        <f t="shared" ref="AP203:AP207" si="202">AL203+AM203+AN203+AO203-AQ203-AS203-AT203-AV203-AW203-AX203-AY203-AZ203-AU203</f>
        <v>168</v>
      </c>
      <c r="AQ203" s="36">
        <v>0</v>
      </c>
      <c r="AR203" s="36">
        <v>0</v>
      </c>
      <c r="AS203" s="36">
        <v>0</v>
      </c>
      <c r="AT203" s="36">
        <v>0</v>
      </c>
      <c r="AU203" s="36">
        <v>0</v>
      </c>
      <c r="AV203" s="36">
        <v>0</v>
      </c>
      <c r="AW203" s="36">
        <v>0</v>
      </c>
      <c r="AX203" s="36">
        <v>0</v>
      </c>
      <c r="AY203" s="36">
        <v>0</v>
      </c>
      <c r="AZ203" s="36">
        <v>0</v>
      </c>
    </row>
    <row r="204" s="24" customFormat="1" ht="21" customHeight="1" spans="1:52">
      <c r="A204" s="42"/>
      <c r="B204" s="43"/>
      <c r="C204" s="42"/>
      <c r="D204" s="37" t="s">
        <v>37</v>
      </c>
      <c r="E204" s="38"/>
      <c r="F204" s="38"/>
      <c r="G204" s="38"/>
      <c r="H204" s="38"/>
      <c r="I204" s="38"/>
      <c r="J204" s="39"/>
      <c r="K204" s="39"/>
      <c r="L204" s="38"/>
      <c r="M204" s="38"/>
      <c r="N204" s="38"/>
      <c r="O204" s="38"/>
      <c r="P204" s="38"/>
      <c r="Q204" s="39"/>
      <c r="R204" s="39"/>
      <c r="S204" s="38"/>
      <c r="T204" s="38"/>
      <c r="U204" s="38"/>
      <c r="V204" s="38"/>
      <c r="W204" s="40"/>
      <c r="X204" s="39"/>
      <c r="Y204" s="39"/>
      <c r="Z204" s="38"/>
      <c r="AA204" s="38"/>
      <c r="AB204" s="38"/>
      <c r="AC204" s="38"/>
      <c r="AD204" s="38"/>
      <c r="AE204" s="39"/>
      <c r="AF204" s="39"/>
      <c r="AG204" s="38"/>
      <c r="AH204" s="38"/>
      <c r="AI204" s="37">
        <v>1</v>
      </c>
      <c r="AJ204" s="43"/>
      <c r="AK204" s="43"/>
      <c r="AL204" s="43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</row>
    <row r="205" s="24" customFormat="1" ht="26.25" customHeight="1" spans="1:52">
      <c r="A205" s="36">
        <v>101</v>
      </c>
      <c r="B205" s="35" t="s">
        <v>32</v>
      </c>
      <c r="C205" s="36" t="s">
        <v>178</v>
      </c>
      <c r="D205" s="37" t="s">
        <v>34</v>
      </c>
      <c r="E205" s="44" t="s">
        <v>35</v>
      </c>
      <c r="F205" s="44" t="s">
        <v>35</v>
      </c>
      <c r="G205" s="44" t="s">
        <v>54</v>
      </c>
      <c r="H205" s="68" t="s">
        <v>179</v>
      </c>
      <c r="I205" s="44" t="s">
        <v>50</v>
      </c>
      <c r="J205" s="39" t="s">
        <v>36</v>
      </c>
      <c r="K205" s="39" t="s">
        <v>36</v>
      </c>
      <c r="L205" s="44" t="s">
        <v>35</v>
      </c>
      <c r="M205" s="44" t="s">
        <v>35</v>
      </c>
      <c r="N205" s="44" t="s">
        <v>35</v>
      </c>
      <c r="O205" s="44" t="s">
        <v>35</v>
      </c>
      <c r="P205" s="44" t="s">
        <v>35</v>
      </c>
      <c r="Q205" s="39" t="s">
        <v>36</v>
      </c>
      <c r="R205" s="39" t="s">
        <v>36</v>
      </c>
      <c r="S205" s="44" t="s">
        <v>35</v>
      </c>
      <c r="T205" s="44" t="s">
        <v>35</v>
      </c>
      <c r="U205" s="44" t="s">
        <v>35</v>
      </c>
      <c r="V205" s="44" t="s">
        <v>35</v>
      </c>
      <c r="W205" s="40" t="s">
        <v>36</v>
      </c>
      <c r="X205" s="39" t="s">
        <v>36</v>
      </c>
      <c r="Y205" s="39" t="s">
        <v>36</v>
      </c>
      <c r="Z205" s="44" t="s">
        <v>35</v>
      </c>
      <c r="AA205" s="44" t="s">
        <v>35</v>
      </c>
      <c r="AB205" s="44" t="s">
        <v>35</v>
      </c>
      <c r="AC205" s="44" t="s">
        <v>35</v>
      </c>
      <c r="AD205" s="44" t="s">
        <v>35</v>
      </c>
      <c r="AE205" s="39" t="s">
        <v>36</v>
      </c>
      <c r="AF205" s="39" t="s">
        <v>36</v>
      </c>
      <c r="AG205" s="44" t="s">
        <v>35</v>
      </c>
      <c r="AH205" s="44" t="s">
        <v>35</v>
      </c>
      <c r="AI205" s="37">
        <v>18</v>
      </c>
      <c r="AJ205" s="35">
        <f t="shared" si="197"/>
        <v>18</v>
      </c>
      <c r="AK205" s="35">
        <v>0</v>
      </c>
      <c r="AL205" s="35">
        <f t="shared" si="198"/>
        <v>5.5</v>
      </c>
      <c r="AM205" s="36">
        <f t="shared" si="199"/>
        <v>0</v>
      </c>
      <c r="AN205" s="36">
        <f t="shared" si="200"/>
        <v>0</v>
      </c>
      <c r="AO205" s="36">
        <f t="shared" si="201"/>
        <v>168</v>
      </c>
      <c r="AP205" s="36">
        <f t="shared" si="202"/>
        <v>149.5</v>
      </c>
      <c r="AQ205" s="36">
        <v>15.5</v>
      </c>
      <c r="AR205" s="36">
        <f>15.5-AQ205</f>
        <v>0</v>
      </c>
      <c r="AS205" s="36">
        <v>0</v>
      </c>
      <c r="AT205" s="36">
        <v>8.5</v>
      </c>
      <c r="AU205" s="36">
        <v>0</v>
      </c>
      <c r="AV205" s="36">
        <v>0</v>
      </c>
      <c r="AW205" s="36">
        <v>0</v>
      </c>
      <c r="AX205" s="36">
        <v>0</v>
      </c>
      <c r="AY205" s="36">
        <v>0</v>
      </c>
      <c r="AZ205" s="36">
        <v>0</v>
      </c>
    </row>
    <row r="206" s="24" customFormat="1" ht="21" customHeight="1" spans="1:52">
      <c r="A206" s="42"/>
      <c r="B206" s="43"/>
      <c r="C206" s="42"/>
      <c r="D206" s="37" t="s">
        <v>37</v>
      </c>
      <c r="E206" s="38"/>
      <c r="F206" s="38">
        <v>1</v>
      </c>
      <c r="G206" s="38"/>
      <c r="H206" s="38"/>
      <c r="I206" s="38"/>
      <c r="J206" s="39"/>
      <c r="K206" s="39"/>
      <c r="L206" s="38"/>
      <c r="M206" s="38"/>
      <c r="N206" s="38"/>
      <c r="O206" s="38"/>
      <c r="P206" s="38"/>
      <c r="Q206" s="39"/>
      <c r="R206" s="39"/>
      <c r="S206" s="38"/>
      <c r="T206" s="38"/>
      <c r="U206" s="38"/>
      <c r="V206" s="38"/>
      <c r="W206" s="40"/>
      <c r="X206" s="39"/>
      <c r="Y206" s="39"/>
      <c r="Z206" s="38">
        <v>1.5</v>
      </c>
      <c r="AA206" s="38"/>
      <c r="AB206" s="38"/>
      <c r="AC206" s="38"/>
      <c r="AD206" s="38"/>
      <c r="AE206" s="39"/>
      <c r="AF206" s="39"/>
      <c r="AG206" s="38">
        <v>1.5</v>
      </c>
      <c r="AH206" s="38">
        <v>1.5</v>
      </c>
      <c r="AI206" s="37">
        <v>0</v>
      </c>
      <c r="AJ206" s="43"/>
      <c r="AK206" s="43"/>
      <c r="AL206" s="43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</row>
    <row r="207" s="24" customFormat="1" ht="21" customHeight="1" spans="1:52">
      <c r="A207" s="36">
        <v>102</v>
      </c>
      <c r="B207" s="35" t="s">
        <v>32</v>
      </c>
      <c r="C207" s="36" t="s">
        <v>180</v>
      </c>
      <c r="D207" s="37" t="s">
        <v>34</v>
      </c>
      <c r="E207" s="44" t="s">
        <v>39</v>
      </c>
      <c r="F207" s="44" t="s">
        <v>39</v>
      </c>
      <c r="G207" s="44" t="s">
        <v>39</v>
      </c>
      <c r="H207" s="44" t="s">
        <v>39</v>
      </c>
      <c r="I207" s="44" t="s">
        <v>39</v>
      </c>
      <c r="J207" s="39" t="s">
        <v>39</v>
      </c>
      <c r="K207" s="39" t="s">
        <v>39</v>
      </c>
      <c r="L207" s="44" t="s">
        <v>39</v>
      </c>
      <c r="M207" s="44" t="s">
        <v>39</v>
      </c>
      <c r="N207" s="44" t="s">
        <v>39</v>
      </c>
      <c r="O207" s="44" t="s">
        <v>39</v>
      </c>
      <c r="P207" s="44" t="s">
        <v>39</v>
      </c>
      <c r="Q207" s="39" t="s">
        <v>39</v>
      </c>
      <c r="R207" s="39" t="s">
        <v>39</v>
      </c>
      <c r="S207" s="44" t="s">
        <v>39</v>
      </c>
      <c r="T207" s="44" t="s">
        <v>39</v>
      </c>
      <c r="U207" s="44" t="s">
        <v>39</v>
      </c>
      <c r="V207" s="44" t="s">
        <v>39</v>
      </c>
      <c r="W207" s="40" t="s">
        <v>39</v>
      </c>
      <c r="X207" s="39" t="s">
        <v>39</v>
      </c>
      <c r="Y207" s="39" t="s">
        <v>39</v>
      </c>
      <c r="Z207" s="44" t="s">
        <v>39</v>
      </c>
      <c r="AA207" s="44" t="s">
        <v>39</v>
      </c>
      <c r="AB207" s="44" t="s">
        <v>39</v>
      </c>
      <c r="AC207" s="44" t="s">
        <v>39</v>
      </c>
      <c r="AD207" s="44" t="s">
        <v>39</v>
      </c>
      <c r="AE207" s="39" t="s">
        <v>39</v>
      </c>
      <c r="AF207" s="39" t="s">
        <v>39</v>
      </c>
      <c r="AG207" s="44" t="s">
        <v>39</v>
      </c>
      <c r="AH207" s="44" t="s">
        <v>39</v>
      </c>
      <c r="AI207" s="37">
        <v>0</v>
      </c>
      <c r="AJ207" s="35">
        <f t="shared" si="197"/>
        <v>0</v>
      </c>
      <c r="AK207" s="35">
        <v>30</v>
      </c>
      <c r="AL207" s="35">
        <f t="shared" si="198"/>
        <v>26</v>
      </c>
      <c r="AM207" s="36">
        <f t="shared" si="199"/>
        <v>53.5</v>
      </c>
      <c r="AN207" s="36">
        <f t="shared" si="200"/>
        <v>0</v>
      </c>
      <c r="AO207" s="36">
        <f t="shared" si="201"/>
        <v>168</v>
      </c>
      <c r="AP207" s="36">
        <f t="shared" si="202"/>
        <v>247.5</v>
      </c>
      <c r="AQ207" s="36">
        <v>0</v>
      </c>
      <c r="AR207" s="36">
        <v>8</v>
      </c>
      <c r="AS207" s="36">
        <v>0</v>
      </c>
      <c r="AT207" s="36">
        <v>0</v>
      </c>
      <c r="AU207" s="36">
        <v>0</v>
      </c>
      <c r="AV207" s="36">
        <v>0</v>
      </c>
      <c r="AW207" s="36">
        <v>0</v>
      </c>
      <c r="AX207" s="36">
        <v>0</v>
      </c>
      <c r="AY207" s="36">
        <v>0</v>
      </c>
      <c r="AZ207" s="36">
        <v>0</v>
      </c>
    </row>
    <row r="208" s="24" customFormat="1" ht="21" customHeight="1" spans="1:52">
      <c r="A208" s="42"/>
      <c r="B208" s="43"/>
      <c r="C208" s="42"/>
      <c r="D208" s="37" t="s">
        <v>37</v>
      </c>
      <c r="E208" s="38">
        <v>2</v>
      </c>
      <c r="F208" s="38"/>
      <c r="G208" s="38">
        <v>2</v>
      </c>
      <c r="H208" s="38">
        <v>2</v>
      </c>
      <c r="I208" s="38"/>
      <c r="J208" s="39">
        <v>8</v>
      </c>
      <c r="K208" s="39">
        <v>8</v>
      </c>
      <c r="L208" s="38">
        <v>2</v>
      </c>
      <c r="M208" s="38"/>
      <c r="N208" s="38">
        <v>2</v>
      </c>
      <c r="O208" s="38">
        <v>2</v>
      </c>
      <c r="P208" s="38"/>
      <c r="Q208" s="39">
        <v>8</v>
      </c>
      <c r="R208" s="39">
        <v>8</v>
      </c>
      <c r="S208" s="38">
        <v>2</v>
      </c>
      <c r="T208" s="38"/>
      <c r="U208" s="38">
        <v>2</v>
      </c>
      <c r="V208" s="38"/>
      <c r="W208" s="40"/>
      <c r="X208" s="39"/>
      <c r="Y208" s="39">
        <v>5.5</v>
      </c>
      <c r="Z208" s="38">
        <v>2</v>
      </c>
      <c r="AA208" s="38">
        <v>2</v>
      </c>
      <c r="AB208" s="38">
        <v>2</v>
      </c>
      <c r="AC208" s="38">
        <v>2</v>
      </c>
      <c r="AD208" s="38"/>
      <c r="AE208" s="39">
        <v>8</v>
      </c>
      <c r="AF208" s="39">
        <v>8</v>
      </c>
      <c r="AG208" s="38">
        <v>2</v>
      </c>
      <c r="AH208" s="38"/>
      <c r="AI208" s="37">
        <v>0</v>
      </c>
      <c r="AJ208" s="43"/>
      <c r="AK208" s="43"/>
      <c r="AL208" s="43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</row>
    <row r="209" s="24" customFormat="1" ht="21" customHeight="1" spans="1:52">
      <c r="A209" s="36">
        <v>103</v>
      </c>
      <c r="B209" s="35" t="s">
        <v>40</v>
      </c>
      <c r="C209" s="36" t="s">
        <v>181</v>
      </c>
      <c r="D209" s="37" t="s">
        <v>34</v>
      </c>
      <c r="E209" s="44" t="s">
        <v>35</v>
      </c>
      <c r="F209" s="44" t="s">
        <v>35</v>
      </c>
      <c r="G209" s="44" t="s">
        <v>35</v>
      </c>
      <c r="H209" s="44" t="s">
        <v>35</v>
      </c>
      <c r="I209" s="44" t="s">
        <v>35</v>
      </c>
      <c r="J209" s="39"/>
      <c r="K209" s="39"/>
      <c r="L209" s="44" t="s">
        <v>35</v>
      </c>
      <c r="M209" s="44" t="s">
        <v>182</v>
      </c>
      <c r="N209" s="44" t="s">
        <v>35</v>
      </c>
      <c r="O209" s="44" t="s">
        <v>35</v>
      </c>
      <c r="P209" s="44" t="s">
        <v>35</v>
      </c>
      <c r="Q209" s="39"/>
      <c r="R209" s="39" t="s">
        <v>36</v>
      </c>
      <c r="S209" s="44" t="s">
        <v>46</v>
      </c>
      <c r="T209" s="44" t="s">
        <v>35</v>
      </c>
      <c r="U209" s="44" t="s">
        <v>35</v>
      </c>
      <c r="V209" s="44" t="s">
        <v>35</v>
      </c>
      <c r="W209" s="40" t="s">
        <v>36</v>
      </c>
      <c r="X209" s="39" t="s">
        <v>36</v>
      </c>
      <c r="Y209" s="39" t="s">
        <v>36</v>
      </c>
      <c r="Z209" s="44" t="s">
        <v>35</v>
      </c>
      <c r="AA209" s="44" t="s">
        <v>35</v>
      </c>
      <c r="AB209" s="44" t="s">
        <v>35</v>
      </c>
      <c r="AC209" s="44" t="s">
        <v>35</v>
      </c>
      <c r="AD209" s="44" t="s">
        <v>35</v>
      </c>
      <c r="AE209" s="39"/>
      <c r="AF209" s="39" t="s">
        <v>36</v>
      </c>
      <c r="AG209" s="44" t="s">
        <v>35</v>
      </c>
      <c r="AH209" s="44" t="s">
        <v>35</v>
      </c>
      <c r="AI209" s="37">
        <v>20</v>
      </c>
      <c r="AJ209" s="35">
        <f t="shared" ref="AJ209:AJ213" si="203">AI209+AI210</f>
        <v>30</v>
      </c>
      <c r="AK209" s="35">
        <v>0</v>
      </c>
      <c r="AL209" s="35">
        <f t="shared" ref="AL209:AL213" si="204">E210+F210+G210+H210+I210+L210+M210+N210+O210+P210+S210+T210+U210+V210+Z210+AA210+AB210+AC210+AD210+AG210+AH210</f>
        <v>22</v>
      </c>
      <c r="AM209" s="36">
        <f t="shared" ref="AM209:AM213" si="205">J210+K210+Q210+R210+X210+Y210+AE210+AF210</f>
        <v>26</v>
      </c>
      <c r="AN209" s="36">
        <f t="shared" ref="AN209:AN213" si="206">W210</f>
        <v>0</v>
      </c>
      <c r="AO209" s="36">
        <f t="shared" ref="AO209:AO213" si="207">21*8</f>
        <v>168</v>
      </c>
      <c r="AP209" s="36">
        <f t="shared" ref="AP209:AP213" si="208">AL209+AM209+AN209+AO209-AQ209-AS209-AT209-AV209-AW209-AX209-AY209-AZ209-AU209</f>
        <v>211.5</v>
      </c>
      <c r="AQ209" s="36">
        <v>4.5</v>
      </c>
      <c r="AR209" s="36">
        <f>38.5-AQ209</f>
        <v>34</v>
      </c>
      <c r="AS209" s="36">
        <v>0</v>
      </c>
      <c r="AT209" s="36">
        <v>0</v>
      </c>
      <c r="AU209" s="36">
        <v>0</v>
      </c>
      <c r="AV209" s="36">
        <v>0</v>
      </c>
      <c r="AW209" s="36">
        <v>0</v>
      </c>
      <c r="AX209" s="36">
        <v>0</v>
      </c>
      <c r="AY209" s="36">
        <v>0</v>
      </c>
      <c r="AZ209" s="36">
        <v>0</v>
      </c>
    </row>
    <row r="210" s="24" customFormat="1" ht="21" customHeight="1" spans="1:52">
      <c r="A210" s="42"/>
      <c r="B210" s="43"/>
      <c r="C210" s="42"/>
      <c r="D210" s="37" t="s">
        <v>37</v>
      </c>
      <c r="E210" s="38">
        <v>1.5</v>
      </c>
      <c r="F210" s="38"/>
      <c r="G210" s="44">
        <v>1.5</v>
      </c>
      <c r="H210" s="44">
        <v>1.5</v>
      </c>
      <c r="I210" s="38"/>
      <c r="J210" s="39">
        <v>6</v>
      </c>
      <c r="K210" s="39">
        <v>5</v>
      </c>
      <c r="L210" s="38"/>
      <c r="M210" s="44">
        <v>1.5</v>
      </c>
      <c r="N210" s="38">
        <v>1.5</v>
      </c>
      <c r="O210" s="38">
        <v>2</v>
      </c>
      <c r="P210" s="38">
        <v>1.5</v>
      </c>
      <c r="Q210" s="39">
        <v>8</v>
      </c>
      <c r="R210" s="39"/>
      <c r="S210" s="44">
        <v>1.5</v>
      </c>
      <c r="T210" s="38"/>
      <c r="U210" s="38"/>
      <c r="V210" s="38">
        <v>1.5</v>
      </c>
      <c r="W210" s="40"/>
      <c r="X210" s="39"/>
      <c r="Y210" s="39"/>
      <c r="Z210" s="38">
        <v>1.5</v>
      </c>
      <c r="AA210" s="38">
        <v>1.5</v>
      </c>
      <c r="AB210" s="38">
        <v>1.5</v>
      </c>
      <c r="AC210" s="38">
        <v>2</v>
      </c>
      <c r="AD210" s="38"/>
      <c r="AE210" s="39">
        <v>7</v>
      </c>
      <c r="AF210" s="39"/>
      <c r="AG210" s="38"/>
      <c r="AH210" s="44">
        <v>1.5</v>
      </c>
      <c r="AI210" s="37">
        <v>10</v>
      </c>
      <c r="AJ210" s="43"/>
      <c r="AK210" s="43"/>
      <c r="AL210" s="43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</row>
    <row r="211" s="24" customFormat="1" ht="21" customHeight="1" spans="1:52">
      <c r="A211" s="36">
        <v>104</v>
      </c>
      <c r="B211" s="35" t="s">
        <v>32</v>
      </c>
      <c r="C211" s="36" t="s">
        <v>183</v>
      </c>
      <c r="D211" s="37" t="s">
        <v>34</v>
      </c>
      <c r="E211" s="44" t="s">
        <v>35</v>
      </c>
      <c r="F211" s="44" t="s">
        <v>35</v>
      </c>
      <c r="G211" s="44" t="s">
        <v>35</v>
      </c>
      <c r="H211" s="44" t="s">
        <v>35</v>
      </c>
      <c r="I211" s="44" t="s">
        <v>35</v>
      </c>
      <c r="J211" s="39"/>
      <c r="K211" s="39" t="s">
        <v>36</v>
      </c>
      <c r="L211" s="44" t="s">
        <v>54</v>
      </c>
      <c r="M211" s="44" t="s">
        <v>35</v>
      </c>
      <c r="N211" s="44" t="s">
        <v>35</v>
      </c>
      <c r="O211" s="44" t="s">
        <v>35</v>
      </c>
      <c r="P211" s="44" t="s">
        <v>35</v>
      </c>
      <c r="Q211" s="39" t="s">
        <v>36</v>
      </c>
      <c r="R211" s="39" t="s">
        <v>36</v>
      </c>
      <c r="S211" s="44" t="s">
        <v>35</v>
      </c>
      <c r="T211" s="44" t="s">
        <v>35</v>
      </c>
      <c r="U211" s="44" t="s">
        <v>35</v>
      </c>
      <c r="V211" s="44" t="s">
        <v>35</v>
      </c>
      <c r="W211" s="40" t="s">
        <v>36</v>
      </c>
      <c r="X211" s="39" t="s">
        <v>36</v>
      </c>
      <c r="Y211" s="39" t="s">
        <v>36</v>
      </c>
      <c r="Z211" s="44" t="s">
        <v>35</v>
      </c>
      <c r="AA211" s="44" t="s">
        <v>35</v>
      </c>
      <c r="AB211" s="44" t="s">
        <v>35</v>
      </c>
      <c r="AC211" s="44" t="s">
        <v>35</v>
      </c>
      <c r="AD211" s="44" t="s">
        <v>35</v>
      </c>
      <c r="AE211" s="39" t="s">
        <v>36</v>
      </c>
      <c r="AF211" s="39" t="s">
        <v>36</v>
      </c>
      <c r="AG211" s="44" t="s">
        <v>35</v>
      </c>
      <c r="AH211" s="44" t="s">
        <v>35</v>
      </c>
      <c r="AI211" s="37">
        <v>20</v>
      </c>
      <c r="AJ211" s="35">
        <f t="shared" si="203"/>
        <v>26</v>
      </c>
      <c r="AK211" s="35">
        <v>0</v>
      </c>
      <c r="AL211" s="35">
        <f t="shared" si="204"/>
        <v>18</v>
      </c>
      <c r="AM211" s="36">
        <f t="shared" si="205"/>
        <v>3</v>
      </c>
      <c r="AN211" s="36">
        <f t="shared" si="206"/>
        <v>0</v>
      </c>
      <c r="AO211" s="36">
        <f t="shared" si="207"/>
        <v>168</v>
      </c>
      <c r="AP211" s="36">
        <f t="shared" si="208"/>
        <v>181</v>
      </c>
      <c r="AQ211" s="36">
        <v>8</v>
      </c>
      <c r="AR211" s="36">
        <f>40-AQ211</f>
        <v>32</v>
      </c>
      <c r="AS211" s="36">
        <v>0</v>
      </c>
      <c r="AT211" s="36">
        <v>0</v>
      </c>
      <c r="AU211" s="36">
        <v>0</v>
      </c>
      <c r="AV211" s="36">
        <v>0</v>
      </c>
      <c r="AW211" s="36">
        <v>0</v>
      </c>
      <c r="AX211" s="36">
        <v>0</v>
      </c>
      <c r="AY211" s="36">
        <v>0</v>
      </c>
      <c r="AZ211" s="36">
        <v>0</v>
      </c>
    </row>
    <row r="212" s="24" customFormat="1" ht="21" customHeight="1" spans="1:52">
      <c r="A212" s="42"/>
      <c r="B212" s="43"/>
      <c r="C212" s="42"/>
      <c r="D212" s="37" t="s">
        <v>37</v>
      </c>
      <c r="E212" s="38">
        <v>1</v>
      </c>
      <c r="F212" s="38"/>
      <c r="G212" s="38"/>
      <c r="H212" s="38">
        <v>1</v>
      </c>
      <c r="I212" s="44">
        <v>1.5</v>
      </c>
      <c r="J212" s="39">
        <v>3</v>
      </c>
      <c r="K212" s="39"/>
      <c r="L212" s="38"/>
      <c r="M212" s="38"/>
      <c r="N212" s="44">
        <v>1.5</v>
      </c>
      <c r="O212" s="44">
        <v>1.5</v>
      </c>
      <c r="P212" s="38"/>
      <c r="Q212" s="39"/>
      <c r="R212" s="39"/>
      <c r="S212" s="38"/>
      <c r="T212" s="38"/>
      <c r="U212" s="38"/>
      <c r="V212" s="38">
        <v>1</v>
      </c>
      <c r="W212" s="40"/>
      <c r="X212" s="39"/>
      <c r="Y212" s="39"/>
      <c r="Z212" s="38">
        <v>4</v>
      </c>
      <c r="AA212" s="38">
        <v>1</v>
      </c>
      <c r="AB212" s="38">
        <v>1</v>
      </c>
      <c r="AC212" s="38"/>
      <c r="AD212" s="44">
        <v>1.5</v>
      </c>
      <c r="AE212" s="39"/>
      <c r="AF212" s="39"/>
      <c r="AG212" s="44">
        <v>1.5</v>
      </c>
      <c r="AH212" s="38">
        <v>1.5</v>
      </c>
      <c r="AI212" s="37">
        <v>6</v>
      </c>
      <c r="AJ212" s="43"/>
      <c r="AK212" s="43"/>
      <c r="AL212" s="43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</row>
    <row r="213" s="24" customFormat="1" ht="21" customHeight="1" spans="1:52">
      <c r="A213" s="36">
        <v>105</v>
      </c>
      <c r="B213" s="35" t="s">
        <v>32</v>
      </c>
      <c r="C213" s="36" t="s">
        <v>184</v>
      </c>
      <c r="D213" s="37" t="s">
        <v>34</v>
      </c>
      <c r="E213" s="44" t="s">
        <v>35</v>
      </c>
      <c r="F213" s="44" t="s">
        <v>35</v>
      </c>
      <c r="G213" s="44" t="s">
        <v>35</v>
      </c>
      <c r="H213" s="44" t="s">
        <v>35</v>
      </c>
      <c r="I213" s="44" t="s">
        <v>35</v>
      </c>
      <c r="J213" s="39" t="s">
        <v>36</v>
      </c>
      <c r="K213" s="39" t="s">
        <v>36</v>
      </c>
      <c r="L213" s="44" t="s">
        <v>35</v>
      </c>
      <c r="M213" s="44" t="s">
        <v>35</v>
      </c>
      <c r="N213" s="44" t="s">
        <v>35</v>
      </c>
      <c r="O213" s="44" t="s">
        <v>35</v>
      </c>
      <c r="P213" s="44" t="s">
        <v>35</v>
      </c>
      <c r="Q213" s="39" t="s">
        <v>36</v>
      </c>
      <c r="R213" s="39" t="s">
        <v>36</v>
      </c>
      <c r="S213" s="44" t="s">
        <v>35</v>
      </c>
      <c r="T213" s="44" t="s">
        <v>35</v>
      </c>
      <c r="U213" s="44" t="s">
        <v>35</v>
      </c>
      <c r="V213" s="44" t="s">
        <v>35</v>
      </c>
      <c r="W213" s="40" t="s">
        <v>36</v>
      </c>
      <c r="X213" s="39" t="s">
        <v>36</v>
      </c>
      <c r="Y213" s="39" t="s">
        <v>36</v>
      </c>
      <c r="Z213" s="44" t="s">
        <v>35</v>
      </c>
      <c r="AA213" s="44" t="s">
        <v>35</v>
      </c>
      <c r="AB213" s="44" t="s">
        <v>35</v>
      </c>
      <c r="AC213" s="44" t="s">
        <v>35</v>
      </c>
      <c r="AD213" s="44" t="s">
        <v>35</v>
      </c>
      <c r="AE213" s="39" t="s">
        <v>36</v>
      </c>
      <c r="AF213" s="39" t="s">
        <v>36</v>
      </c>
      <c r="AG213" s="44" t="s">
        <v>35</v>
      </c>
      <c r="AH213" s="44" t="s">
        <v>35</v>
      </c>
      <c r="AI213" s="37">
        <v>21</v>
      </c>
      <c r="AJ213" s="35">
        <f t="shared" si="203"/>
        <v>21</v>
      </c>
      <c r="AK213" s="35">
        <v>0</v>
      </c>
      <c r="AL213" s="35">
        <f t="shared" si="204"/>
        <v>0</v>
      </c>
      <c r="AM213" s="36">
        <f t="shared" si="205"/>
        <v>0</v>
      </c>
      <c r="AN213" s="36">
        <f t="shared" si="206"/>
        <v>0</v>
      </c>
      <c r="AO213" s="36">
        <f t="shared" si="207"/>
        <v>168</v>
      </c>
      <c r="AP213" s="36">
        <f t="shared" si="208"/>
        <v>168</v>
      </c>
      <c r="AQ213" s="36">
        <v>0</v>
      </c>
      <c r="AR213" s="36">
        <v>12.5</v>
      </c>
      <c r="AS213" s="36">
        <v>0</v>
      </c>
      <c r="AT213" s="36">
        <v>0</v>
      </c>
      <c r="AU213" s="36">
        <v>0</v>
      </c>
      <c r="AV213" s="36">
        <v>0</v>
      </c>
      <c r="AW213" s="36">
        <v>0</v>
      </c>
      <c r="AX213" s="36">
        <v>0</v>
      </c>
      <c r="AY213" s="36">
        <v>0</v>
      </c>
      <c r="AZ213" s="36">
        <v>0</v>
      </c>
    </row>
    <row r="214" s="24" customFormat="1" ht="21" customHeight="1" spans="1:52">
      <c r="A214" s="42"/>
      <c r="B214" s="43"/>
      <c r="C214" s="42"/>
      <c r="D214" s="37" t="s">
        <v>37</v>
      </c>
      <c r="E214" s="38"/>
      <c r="F214" s="38"/>
      <c r="G214" s="38"/>
      <c r="H214" s="38"/>
      <c r="I214" s="38"/>
      <c r="J214" s="39"/>
      <c r="K214" s="39"/>
      <c r="L214" s="38"/>
      <c r="M214" s="38"/>
      <c r="N214" s="38"/>
      <c r="O214" s="38"/>
      <c r="P214" s="38"/>
      <c r="Q214" s="39"/>
      <c r="R214" s="39"/>
      <c r="S214" s="38"/>
      <c r="T214" s="38"/>
      <c r="U214" s="38"/>
      <c r="V214" s="38"/>
      <c r="W214" s="40"/>
      <c r="X214" s="39"/>
      <c r="Y214" s="39"/>
      <c r="Z214" s="38"/>
      <c r="AA214" s="38"/>
      <c r="AB214" s="38"/>
      <c r="AC214" s="38"/>
      <c r="AD214" s="38"/>
      <c r="AE214" s="39"/>
      <c r="AF214" s="39"/>
      <c r="AG214" s="38"/>
      <c r="AH214" s="38"/>
      <c r="AI214" s="37">
        <v>0</v>
      </c>
      <c r="AJ214" s="43"/>
      <c r="AK214" s="43"/>
      <c r="AL214" s="43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</row>
    <row r="215" s="24" customFormat="1" ht="21" customHeight="1" spans="1:52">
      <c r="A215" s="36">
        <v>106</v>
      </c>
      <c r="B215" s="35" t="s">
        <v>32</v>
      </c>
      <c r="C215" s="36" t="s">
        <v>185</v>
      </c>
      <c r="D215" s="37" t="s">
        <v>34</v>
      </c>
      <c r="E215" s="44" t="s">
        <v>35</v>
      </c>
      <c r="F215" s="44" t="s">
        <v>35</v>
      </c>
      <c r="G215" s="44" t="s">
        <v>35</v>
      </c>
      <c r="H215" s="44" t="s">
        <v>35</v>
      </c>
      <c r="I215" s="44" t="s">
        <v>35</v>
      </c>
      <c r="J215" s="39" t="s">
        <v>36</v>
      </c>
      <c r="K215" s="39" t="s">
        <v>36</v>
      </c>
      <c r="L215" s="44" t="s">
        <v>35</v>
      </c>
      <c r="M215" s="44" t="s">
        <v>35</v>
      </c>
      <c r="N215" s="44" t="s">
        <v>35</v>
      </c>
      <c r="O215" s="44" t="s">
        <v>35</v>
      </c>
      <c r="P215" s="44" t="s">
        <v>35</v>
      </c>
      <c r="Q215" s="39" t="s">
        <v>36</v>
      </c>
      <c r="R215" s="39" t="s">
        <v>36</v>
      </c>
      <c r="S215" s="44" t="s">
        <v>35</v>
      </c>
      <c r="T215" s="44" t="s">
        <v>35</v>
      </c>
      <c r="U215" s="44" t="s">
        <v>35</v>
      </c>
      <c r="V215" s="44" t="s">
        <v>35</v>
      </c>
      <c r="W215" s="40" t="s">
        <v>36</v>
      </c>
      <c r="X215" s="39" t="s">
        <v>36</v>
      </c>
      <c r="Y215" s="39" t="s">
        <v>36</v>
      </c>
      <c r="Z215" s="44" t="s">
        <v>35</v>
      </c>
      <c r="AA215" s="44" t="s">
        <v>35</v>
      </c>
      <c r="AB215" s="44" t="s">
        <v>35</v>
      </c>
      <c r="AC215" s="44" t="s">
        <v>35</v>
      </c>
      <c r="AD215" s="44" t="s">
        <v>35</v>
      </c>
      <c r="AE215" s="39" t="s">
        <v>36</v>
      </c>
      <c r="AF215" s="39" t="s">
        <v>36</v>
      </c>
      <c r="AG215" s="44" t="s">
        <v>35</v>
      </c>
      <c r="AH215" s="44" t="s">
        <v>35</v>
      </c>
      <c r="AI215" s="37">
        <v>21</v>
      </c>
      <c r="AJ215" s="35">
        <f t="shared" ref="AJ215:AJ219" si="209">AI215+AI216</f>
        <v>24</v>
      </c>
      <c r="AK215" s="35">
        <v>0</v>
      </c>
      <c r="AL215" s="35">
        <f t="shared" ref="AL215:AL219" si="210">E216+F216+G216+H216+I216+L216+M216+N216+O216+P216+S216+T216+U216+V216+Z216+AA216+AB216+AC216+AD216+AG216+AH216</f>
        <v>6.5</v>
      </c>
      <c r="AM215" s="36">
        <f t="shared" ref="AM215:AM219" si="211">J216+K216+Q216+R216+X216+Y216+AE216+AF216</f>
        <v>0</v>
      </c>
      <c r="AN215" s="36">
        <f t="shared" ref="AN215:AN219" si="212">W216</f>
        <v>0</v>
      </c>
      <c r="AO215" s="36">
        <f t="shared" ref="AO215:AO219" si="213">21*8</f>
        <v>168</v>
      </c>
      <c r="AP215" s="36">
        <f t="shared" ref="AP215:AP219" si="214">AL215+AM215+AN215+AO215-AQ215-AS215-AT215-AV215-AW215-AX215-AY215-AZ215-AU215</f>
        <v>174.5</v>
      </c>
      <c r="AQ215" s="36">
        <v>0</v>
      </c>
      <c r="AR215" s="36">
        <v>35.5</v>
      </c>
      <c r="AS215" s="36">
        <v>0</v>
      </c>
      <c r="AT215" s="36">
        <v>0</v>
      </c>
      <c r="AU215" s="36">
        <v>0</v>
      </c>
      <c r="AV215" s="36">
        <v>0</v>
      </c>
      <c r="AW215" s="36">
        <v>0</v>
      </c>
      <c r="AX215" s="36">
        <v>0</v>
      </c>
      <c r="AY215" s="36">
        <v>0</v>
      </c>
      <c r="AZ215" s="36">
        <v>0</v>
      </c>
    </row>
    <row r="216" s="24" customFormat="1" ht="21" customHeight="1" spans="1:52">
      <c r="A216" s="42"/>
      <c r="B216" s="43"/>
      <c r="C216" s="42"/>
      <c r="D216" s="37" t="s">
        <v>37</v>
      </c>
      <c r="E216" s="38">
        <v>2</v>
      </c>
      <c r="F216" s="38"/>
      <c r="G216" s="38"/>
      <c r="H216" s="38"/>
      <c r="I216" s="38"/>
      <c r="J216" s="39"/>
      <c r="K216" s="39"/>
      <c r="L216" s="38">
        <v>1.5</v>
      </c>
      <c r="M216" s="38"/>
      <c r="N216" s="38"/>
      <c r="O216" s="38"/>
      <c r="P216" s="38"/>
      <c r="Q216" s="39"/>
      <c r="R216" s="39"/>
      <c r="S216" s="38"/>
      <c r="T216" s="38"/>
      <c r="U216" s="38"/>
      <c r="V216" s="38"/>
      <c r="W216" s="40"/>
      <c r="X216" s="39"/>
      <c r="Y216" s="39"/>
      <c r="Z216" s="44">
        <v>1.5</v>
      </c>
      <c r="AA216" s="38"/>
      <c r="AB216" s="38"/>
      <c r="AC216" s="38"/>
      <c r="AD216" s="38"/>
      <c r="AE216" s="39"/>
      <c r="AF216" s="39"/>
      <c r="AG216" s="44">
        <v>1.5</v>
      </c>
      <c r="AH216" s="38"/>
      <c r="AI216" s="37">
        <v>3</v>
      </c>
      <c r="AJ216" s="43"/>
      <c r="AK216" s="43"/>
      <c r="AL216" s="43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</row>
    <row r="217" s="24" customFormat="1" ht="21" customHeight="1" spans="1:52">
      <c r="A217" s="36">
        <v>107</v>
      </c>
      <c r="B217" s="35" t="s">
        <v>32</v>
      </c>
      <c r="C217" s="36" t="s">
        <v>186</v>
      </c>
      <c r="D217" s="37" t="s">
        <v>34</v>
      </c>
      <c r="E217" s="44" t="s">
        <v>35</v>
      </c>
      <c r="F217" s="44" t="s">
        <v>35</v>
      </c>
      <c r="G217" s="44" t="s">
        <v>35</v>
      </c>
      <c r="H217" s="44" t="s">
        <v>35</v>
      </c>
      <c r="I217" s="44" t="s">
        <v>35</v>
      </c>
      <c r="J217" s="39"/>
      <c r="K217" s="39"/>
      <c r="L217" s="44" t="s">
        <v>35</v>
      </c>
      <c r="M217" s="44" t="s">
        <v>35</v>
      </c>
      <c r="N217" s="44" t="s">
        <v>35</v>
      </c>
      <c r="O217" s="44" t="s">
        <v>35</v>
      </c>
      <c r="P217" s="44" t="s">
        <v>35</v>
      </c>
      <c r="Q217" s="39" t="s">
        <v>36</v>
      </c>
      <c r="R217" s="39"/>
      <c r="S217" s="44" t="s">
        <v>35</v>
      </c>
      <c r="T217" s="44" t="s">
        <v>39</v>
      </c>
      <c r="U217" s="44" t="s">
        <v>39</v>
      </c>
      <c r="V217" s="44" t="s">
        <v>39</v>
      </c>
      <c r="W217" s="40" t="s">
        <v>36</v>
      </c>
      <c r="X217" s="39" t="s">
        <v>36</v>
      </c>
      <c r="Y217" s="39" t="s">
        <v>36</v>
      </c>
      <c r="Z217" s="44" t="s">
        <v>35</v>
      </c>
      <c r="AA217" s="44" t="s">
        <v>35</v>
      </c>
      <c r="AB217" s="44" t="s">
        <v>35</v>
      </c>
      <c r="AC217" s="44" t="s">
        <v>35</v>
      </c>
      <c r="AD217" s="44" t="s">
        <v>35</v>
      </c>
      <c r="AE217" s="39"/>
      <c r="AF217" s="39"/>
      <c r="AG217" s="44" t="s">
        <v>35</v>
      </c>
      <c r="AH217" s="44" t="s">
        <v>35</v>
      </c>
      <c r="AI217" s="37">
        <v>18</v>
      </c>
      <c r="AJ217" s="35">
        <f t="shared" si="209"/>
        <v>35</v>
      </c>
      <c r="AK217" s="35">
        <v>3</v>
      </c>
      <c r="AL217" s="35">
        <f t="shared" si="210"/>
        <v>43.5</v>
      </c>
      <c r="AM217" s="36">
        <f t="shared" si="211"/>
        <v>30</v>
      </c>
      <c r="AN217" s="36">
        <f t="shared" si="212"/>
        <v>0</v>
      </c>
      <c r="AO217" s="36">
        <f t="shared" si="213"/>
        <v>168</v>
      </c>
      <c r="AP217" s="36">
        <f t="shared" si="214"/>
        <v>241.5</v>
      </c>
      <c r="AQ217" s="36">
        <v>0</v>
      </c>
      <c r="AR217" s="36">
        <v>23.5</v>
      </c>
      <c r="AS217" s="36">
        <v>0</v>
      </c>
      <c r="AT217" s="36">
        <v>0</v>
      </c>
      <c r="AU217" s="36">
        <v>0</v>
      </c>
      <c r="AV217" s="36">
        <v>0</v>
      </c>
      <c r="AW217" s="36">
        <v>0</v>
      </c>
      <c r="AX217" s="36">
        <v>0</v>
      </c>
      <c r="AY217" s="36">
        <v>0</v>
      </c>
      <c r="AZ217" s="36">
        <v>0</v>
      </c>
    </row>
    <row r="218" s="24" customFormat="1" ht="21" customHeight="1" spans="1:52">
      <c r="A218" s="42"/>
      <c r="B218" s="43"/>
      <c r="C218" s="42"/>
      <c r="D218" s="37" t="s">
        <v>37</v>
      </c>
      <c r="E218" s="38"/>
      <c r="F218" s="38">
        <v>4</v>
      </c>
      <c r="G218" s="38">
        <v>4.5</v>
      </c>
      <c r="H218" s="38">
        <v>4</v>
      </c>
      <c r="I218" s="38"/>
      <c r="J218" s="39">
        <v>8.5</v>
      </c>
      <c r="K218" s="39">
        <v>5</v>
      </c>
      <c r="L218" s="44">
        <v>1.5</v>
      </c>
      <c r="M218" s="38">
        <v>2.5</v>
      </c>
      <c r="N218" s="38">
        <v>2</v>
      </c>
      <c r="O218" s="38">
        <v>2</v>
      </c>
      <c r="P218" s="38"/>
      <c r="Q218" s="39"/>
      <c r="R218" s="39">
        <v>4</v>
      </c>
      <c r="S218" s="38">
        <v>3</v>
      </c>
      <c r="T218" s="38"/>
      <c r="U218" s="38"/>
      <c r="V218" s="38">
        <v>5.5</v>
      </c>
      <c r="W218" s="40"/>
      <c r="X218" s="39"/>
      <c r="Y218" s="39"/>
      <c r="Z218" s="38">
        <v>3.5</v>
      </c>
      <c r="AA218" s="38">
        <v>3</v>
      </c>
      <c r="AB218" s="38">
        <v>3</v>
      </c>
      <c r="AC218" s="38">
        <v>2.5</v>
      </c>
      <c r="AD218" s="38"/>
      <c r="AE218" s="39">
        <v>7</v>
      </c>
      <c r="AF218" s="39">
        <v>5.5</v>
      </c>
      <c r="AG218" s="38">
        <v>2.5</v>
      </c>
      <c r="AH218" s="38"/>
      <c r="AI218" s="37">
        <v>17</v>
      </c>
      <c r="AJ218" s="43"/>
      <c r="AK218" s="43"/>
      <c r="AL218" s="43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</row>
    <row r="219" s="24" customFormat="1" ht="21" customHeight="1" spans="1:52">
      <c r="A219" s="36">
        <v>108</v>
      </c>
      <c r="B219" s="35" t="s">
        <v>32</v>
      </c>
      <c r="C219" s="36" t="s">
        <v>187</v>
      </c>
      <c r="D219" s="37" t="s">
        <v>34</v>
      </c>
      <c r="E219" s="44" t="s">
        <v>35</v>
      </c>
      <c r="F219" s="44" t="s">
        <v>35</v>
      </c>
      <c r="G219" s="44" t="s">
        <v>35</v>
      </c>
      <c r="H219" s="44" t="s">
        <v>39</v>
      </c>
      <c r="I219" s="44" t="s">
        <v>39</v>
      </c>
      <c r="J219" s="39" t="s">
        <v>36</v>
      </c>
      <c r="K219" s="39" t="s">
        <v>36</v>
      </c>
      <c r="L219" s="44" t="s">
        <v>35</v>
      </c>
      <c r="M219" s="44" t="s">
        <v>35</v>
      </c>
      <c r="N219" s="44" t="s">
        <v>39</v>
      </c>
      <c r="O219" s="44" t="s">
        <v>39</v>
      </c>
      <c r="P219" s="44" t="s">
        <v>39</v>
      </c>
      <c r="Q219" s="39" t="s">
        <v>36</v>
      </c>
      <c r="R219" s="39" t="s">
        <v>36</v>
      </c>
      <c r="S219" s="44" t="s">
        <v>35</v>
      </c>
      <c r="T219" s="44" t="s">
        <v>35</v>
      </c>
      <c r="U219" s="44" t="s">
        <v>35</v>
      </c>
      <c r="V219" s="44" t="s">
        <v>35</v>
      </c>
      <c r="W219" s="40" t="s">
        <v>36</v>
      </c>
      <c r="X219" s="39" t="s">
        <v>36</v>
      </c>
      <c r="Y219" s="39" t="s">
        <v>36</v>
      </c>
      <c r="Z219" s="44" t="s">
        <v>35</v>
      </c>
      <c r="AA219" s="44" t="s">
        <v>110</v>
      </c>
      <c r="AB219" s="44" t="s">
        <v>35</v>
      </c>
      <c r="AC219" s="44" t="s">
        <v>35</v>
      </c>
      <c r="AD219" s="44" t="s">
        <v>35</v>
      </c>
      <c r="AE219" s="39" t="s">
        <v>36</v>
      </c>
      <c r="AF219" s="39" t="s">
        <v>36</v>
      </c>
      <c r="AG219" s="44" t="s">
        <v>35</v>
      </c>
      <c r="AH219" s="44" t="s">
        <v>35</v>
      </c>
      <c r="AI219" s="37">
        <v>16</v>
      </c>
      <c r="AJ219" s="35">
        <f t="shared" si="209"/>
        <v>20</v>
      </c>
      <c r="AK219" s="35">
        <v>5</v>
      </c>
      <c r="AL219" s="35">
        <f t="shared" si="210"/>
        <v>11.5</v>
      </c>
      <c r="AM219" s="36">
        <f t="shared" si="211"/>
        <v>0</v>
      </c>
      <c r="AN219" s="36">
        <f t="shared" si="212"/>
        <v>0</v>
      </c>
      <c r="AO219" s="36">
        <f t="shared" si="213"/>
        <v>168</v>
      </c>
      <c r="AP219" s="36">
        <f t="shared" si="214"/>
        <v>179</v>
      </c>
      <c r="AQ219" s="36">
        <v>0.5</v>
      </c>
      <c r="AR219" s="36">
        <f>32-AQ219</f>
        <v>31.5</v>
      </c>
      <c r="AS219" s="36">
        <v>0</v>
      </c>
      <c r="AT219" s="36">
        <v>0</v>
      </c>
      <c r="AU219" s="36">
        <v>0</v>
      </c>
      <c r="AV219" s="36">
        <v>0</v>
      </c>
      <c r="AW219" s="36">
        <v>0</v>
      </c>
      <c r="AX219" s="36">
        <v>0</v>
      </c>
      <c r="AY219" s="36">
        <v>0</v>
      </c>
      <c r="AZ219" s="36">
        <v>0</v>
      </c>
    </row>
    <row r="220" s="24" customFormat="1" ht="21" customHeight="1" spans="1:52">
      <c r="A220" s="42"/>
      <c r="B220" s="43"/>
      <c r="C220" s="42"/>
      <c r="D220" s="37" t="s">
        <v>37</v>
      </c>
      <c r="E220" s="38"/>
      <c r="F220" s="38"/>
      <c r="G220" s="38"/>
      <c r="H220" s="38"/>
      <c r="I220" s="38"/>
      <c r="J220" s="39"/>
      <c r="K220" s="39"/>
      <c r="L220" s="38">
        <v>1.5</v>
      </c>
      <c r="M220" s="38"/>
      <c r="N220" s="38"/>
      <c r="O220" s="38"/>
      <c r="P220" s="38"/>
      <c r="Q220" s="39"/>
      <c r="R220" s="39"/>
      <c r="S220" s="38">
        <v>3</v>
      </c>
      <c r="T220" s="44">
        <v>1.5</v>
      </c>
      <c r="U220" s="38">
        <v>3</v>
      </c>
      <c r="V220" s="38"/>
      <c r="W220" s="40"/>
      <c r="X220" s="39"/>
      <c r="Y220" s="39"/>
      <c r="Z220" s="38"/>
      <c r="AA220" s="38">
        <v>2.5</v>
      </c>
      <c r="AB220" s="38"/>
      <c r="AC220" s="38"/>
      <c r="AD220" s="38"/>
      <c r="AE220" s="39"/>
      <c r="AF220" s="39"/>
      <c r="AG220" s="38"/>
      <c r="AH220" s="38"/>
      <c r="AI220" s="37">
        <v>4</v>
      </c>
      <c r="AJ220" s="43"/>
      <c r="AK220" s="43"/>
      <c r="AL220" s="43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</row>
    <row r="221" s="24" customFormat="1" ht="21" customHeight="1" spans="1:52">
      <c r="A221" s="36">
        <v>109</v>
      </c>
      <c r="B221" s="35" t="s">
        <v>32</v>
      </c>
      <c r="C221" s="36" t="s">
        <v>188</v>
      </c>
      <c r="D221" s="37" t="s">
        <v>34</v>
      </c>
      <c r="E221" s="44" t="s">
        <v>39</v>
      </c>
      <c r="F221" s="44" t="s">
        <v>39</v>
      </c>
      <c r="G221" s="44" t="s">
        <v>39</v>
      </c>
      <c r="H221" s="44" t="s">
        <v>39</v>
      </c>
      <c r="I221" s="44" t="s">
        <v>39</v>
      </c>
      <c r="J221" s="39" t="s">
        <v>39</v>
      </c>
      <c r="K221" s="39"/>
      <c r="L221" s="44" t="s">
        <v>35</v>
      </c>
      <c r="M221" s="44" t="s">
        <v>35</v>
      </c>
      <c r="N221" s="44" t="s">
        <v>35</v>
      </c>
      <c r="O221" s="44" t="s">
        <v>35</v>
      </c>
      <c r="P221" s="44" t="s">
        <v>35</v>
      </c>
      <c r="Q221" s="39"/>
      <c r="R221" s="39" t="s">
        <v>36</v>
      </c>
      <c r="S221" s="44" t="s">
        <v>35</v>
      </c>
      <c r="T221" s="44" t="s">
        <v>35</v>
      </c>
      <c r="U221" s="44" t="s">
        <v>35</v>
      </c>
      <c r="V221" s="44" t="s">
        <v>35</v>
      </c>
      <c r="W221" s="40" t="s">
        <v>36</v>
      </c>
      <c r="X221" s="39" t="s">
        <v>36</v>
      </c>
      <c r="Y221" s="39"/>
      <c r="Z221" s="44" t="s">
        <v>35</v>
      </c>
      <c r="AA221" s="44" t="s">
        <v>46</v>
      </c>
      <c r="AB221" s="44" t="s">
        <v>35</v>
      </c>
      <c r="AC221" s="44" t="s">
        <v>35</v>
      </c>
      <c r="AD221" s="44" t="s">
        <v>35</v>
      </c>
      <c r="AE221" s="39" t="s">
        <v>36</v>
      </c>
      <c r="AF221" s="39" t="s">
        <v>36</v>
      </c>
      <c r="AG221" s="44" t="s">
        <v>189</v>
      </c>
      <c r="AH221" s="44" t="s">
        <v>190</v>
      </c>
      <c r="AI221" s="37">
        <v>14</v>
      </c>
      <c r="AJ221" s="35">
        <f t="shared" ref="AJ221:AJ225" si="215">AI221+AI222</f>
        <v>27</v>
      </c>
      <c r="AK221" s="35">
        <v>6</v>
      </c>
      <c r="AL221" s="35">
        <f t="shared" ref="AL221:AL225" si="216">E222+F222+G222+H222+I222+L222+M222+N222+O222+P222+S222+T222+U222+V222+Z222+AA222+AB222+AC222+AD222+AG222+AH222</f>
        <v>41.5</v>
      </c>
      <c r="AM221" s="36">
        <f t="shared" ref="AM221:AM225" si="217">J222+K222+Q222+R222+X222+Y222+AE222+AF222</f>
        <v>13</v>
      </c>
      <c r="AN221" s="36">
        <f t="shared" ref="AN221:AN225" si="218">W222</f>
        <v>0</v>
      </c>
      <c r="AO221" s="36">
        <f t="shared" ref="AO221:AO225" si="219">21*8</f>
        <v>168</v>
      </c>
      <c r="AP221" s="36">
        <f t="shared" ref="AP221:AP225" si="220">AL221+AM221+AN221+AO221-AQ221-AS221-AT221-AV221-AW221-AX221-AY221-AZ221-AU221</f>
        <v>214.5</v>
      </c>
      <c r="AQ221" s="36">
        <v>2</v>
      </c>
      <c r="AR221" s="36">
        <f>23.5-AQ221</f>
        <v>21.5</v>
      </c>
      <c r="AS221" s="36">
        <v>6</v>
      </c>
      <c r="AT221" s="36">
        <v>0</v>
      </c>
      <c r="AU221" s="36">
        <v>0</v>
      </c>
      <c r="AV221" s="36">
        <v>0</v>
      </c>
      <c r="AW221" s="36">
        <v>0</v>
      </c>
      <c r="AX221" s="36">
        <v>0</v>
      </c>
      <c r="AY221" s="36">
        <v>0</v>
      </c>
      <c r="AZ221" s="36">
        <v>0</v>
      </c>
    </row>
    <row r="222" s="24" customFormat="1" ht="21" customHeight="1" spans="1:52">
      <c r="A222" s="42"/>
      <c r="B222" s="43"/>
      <c r="C222" s="42"/>
      <c r="D222" s="37" t="s">
        <v>37</v>
      </c>
      <c r="E222" s="38"/>
      <c r="F222" s="38"/>
      <c r="G222" s="38"/>
      <c r="H222" s="38"/>
      <c r="I222" s="38"/>
      <c r="J222" s="39"/>
      <c r="K222" s="39">
        <v>5</v>
      </c>
      <c r="L222" s="38">
        <v>4.5</v>
      </c>
      <c r="M222" s="38">
        <v>4.5</v>
      </c>
      <c r="N222" s="38">
        <v>4</v>
      </c>
      <c r="O222" s="38">
        <v>5</v>
      </c>
      <c r="P222" s="38">
        <v>2</v>
      </c>
      <c r="Q222" s="39">
        <v>4.5</v>
      </c>
      <c r="R222" s="39"/>
      <c r="S222" s="38">
        <v>3.5</v>
      </c>
      <c r="T222" s="38">
        <v>3</v>
      </c>
      <c r="U222" s="38">
        <v>2</v>
      </c>
      <c r="V222" s="38"/>
      <c r="W222" s="40"/>
      <c r="X222" s="39"/>
      <c r="Y222" s="39">
        <v>3.5</v>
      </c>
      <c r="Z222" s="38">
        <v>5.5</v>
      </c>
      <c r="AA222" s="38">
        <v>5.5</v>
      </c>
      <c r="AB222" s="38"/>
      <c r="AC222" s="38"/>
      <c r="AD222" s="38"/>
      <c r="AE222" s="39"/>
      <c r="AF222" s="39"/>
      <c r="AG222" s="38"/>
      <c r="AH222" s="38">
        <v>2</v>
      </c>
      <c r="AI222" s="37">
        <v>13</v>
      </c>
      <c r="AJ222" s="43"/>
      <c r="AK222" s="43"/>
      <c r="AL222" s="43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</row>
    <row r="223" s="24" customFormat="1" ht="22.5" customHeight="1" spans="1:52">
      <c r="A223" s="36">
        <v>110</v>
      </c>
      <c r="B223" s="35" t="s">
        <v>32</v>
      </c>
      <c r="C223" s="36" t="s">
        <v>191</v>
      </c>
      <c r="D223" s="37" t="s">
        <v>34</v>
      </c>
      <c r="E223" s="44" t="s">
        <v>35</v>
      </c>
      <c r="F223" s="44" t="s">
        <v>35</v>
      </c>
      <c r="G223" s="44" t="s">
        <v>35</v>
      </c>
      <c r="H223" s="44" t="s">
        <v>35</v>
      </c>
      <c r="I223" s="44" t="s">
        <v>35</v>
      </c>
      <c r="J223" s="39"/>
      <c r="K223" s="39"/>
      <c r="L223" s="44" t="s">
        <v>35</v>
      </c>
      <c r="M223" s="44" t="s">
        <v>35</v>
      </c>
      <c r="N223" s="44" t="s">
        <v>35</v>
      </c>
      <c r="O223" s="44" t="s">
        <v>35</v>
      </c>
      <c r="P223" s="44" t="s">
        <v>35</v>
      </c>
      <c r="Q223" s="39"/>
      <c r="R223" s="39"/>
      <c r="S223" s="44" t="s">
        <v>35</v>
      </c>
      <c r="T223" s="44" t="s">
        <v>35</v>
      </c>
      <c r="U223" s="44" t="s">
        <v>35</v>
      </c>
      <c r="V223" s="44" t="s">
        <v>35</v>
      </c>
      <c r="W223" s="40"/>
      <c r="X223" s="39" t="s">
        <v>36</v>
      </c>
      <c r="Y223" s="39" t="s">
        <v>36</v>
      </c>
      <c r="Z223" s="44" t="s">
        <v>35</v>
      </c>
      <c r="AA223" s="44" t="s">
        <v>35</v>
      </c>
      <c r="AB223" s="44" t="s">
        <v>35</v>
      </c>
      <c r="AC223" s="44" t="s">
        <v>35</v>
      </c>
      <c r="AD223" s="44" t="s">
        <v>35</v>
      </c>
      <c r="AE223" s="39" t="s">
        <v>36</v>
      </c>
      <c r="AF223" s="39"/>
      <c r="AG223" s="44" t="s">
        <v>35</v>
      </c>
      <c r="AH223" s="44" t="s">
        <v>35</v>
      </c>
      <c r="AI223" s="37">
        <v>21</v>
      </c>
      <c r="AJ223" s="35">
        <f t="shared" si="215"/>
        <v>46</v>
      </c>
      <c r="AK223" s="35">
        <v>0</v>
      </c>
      <c r="AL223" s="35">
        <f t="shared" si="216"/>
        <v>64.5</v>
      </c>
      <c r="AM223" s="36">
        <f t="shared" si="217"/>
        <v>37</v>
      </c>
      <c r="AN223" s="36">
        <f t="shared" si="218"/>
        <v>4.5</v>
      </c>
      <c r="AO223" s="36">
        <f t="shared" si="219"/>
        <v>168</v>
      </c>
      <c r="AP223" s="36">
        <f t="shared" si="220"/>
        <v>274</v>
      </c>
      <c r="AQ223" s="36">
        <v>0</v>
      </c>
      <c r="AR223" s="36">
        <v>40</v>
      </c>
      <c r="AS223" s="36">
        <v>0</v>
      </c>
      <c r="AT223" s="36">
        <v>0</v>
      </c>
      <c r="AU223" s="36">
        <v>0</v>
      </c>
      <c r="AV223" s="36">
        <v>0</v>
      </c>
      <c r="AW223" s="36">
        <v>0</v>
      </c>
      <c r="AX223" s="36">
        <v>0</v>
      </c>
      <c r="AY223" s="36">
        <v>0</v>
      </c>
      <c r="AZ223" s="36">
        <v>0</v>
      </c>
    </row>
    <row r="224" s="24" customFormat="1" ht="21" customHeight="1" spans="1:52">
      <c r="A224" s="42"/>
      <c r="B224" s="43"/>
      <c r="C224" s="42"/>
      <c r="D224" s="37" t="s">
        <v>37</v>
      </c>
      <c r="E224" s="38">
        <v>3.5</v>
      </c>
      <c r="F224" s="38">
        <v>3.5</v>
      </c>
      <c r="G224" s="38">
        <v>4</v>
      </c>
      <c r="H224" s="38">
        <v>3.5</v>
      </c>
      <c r="I224" s="38">
        <v>3</v>
      </c>
      <c r="J224" s="39">
        <v>9</v>
      </c>
      <c r="K224" s="39">
        <v>12</v>
      </c>
      <c r="L224" s="38">
        <v>5</v>
      </c>
      <c r="M224" s="38">
        <v>4.5</v>
      </c>
      <c r="N224" s="38">
        <v>4.5</v>
      </c>
      <c r="O224" s="38">
        <v>5</v>
      </c>
      <c r="P224" s="38">
        <v>2.5</v>
      </c>
      <c r="Q224" s="39">
        <v>7</v>
      </c>
      <c r="R224" s="39">
        <v>5.5</v>
      </c>
      <c r="S224" s="38">
        <v>3</v>
      </c>
      <c r="T224" s="38">
        <v>3.5</v>
      </c>
      <c r="U224" s="38">
        <v>2.5</v>
      </c>
      <c r="V224" s="38"/>
      <c r="W224" s="40">
        <v>4.5</v>
      </c>
      <c r="X224" s="39"/>
      <c r="Y224" s="39"/>
      <c r="Z224" s="44">
        <v>1.5</v>
      </c>
      <c r="AA224" s="38">
        <v>5.5</v>
      </c>
      <c r="AB224" s="38">
        <v>2</v>
      </c>
      <c r="AC224" s="38">
        <v>2.5</v>
      </c>
      <c r="AD224" s="38"/>
      <c r="AE224" s="39"/>
      <c r="AF224" s="39">
        <v>3.5</v>
      </c>
      <c r="AG224" s="38">
        <v>3</v>
      </c>
      <c r="AH224" s="38">
        <v>2</v>
      </c>
      <c r="AI224" s="37">
        <v>25</v>
      </c>
      <c r="AJ224" s="43"/>
      <c r="AK224" s="43"/>
      <c r="AL224" s="43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</row>
    <row r="225" s="24" customFormat="1" ht="21" customHeight="1" spans="1:52">
      <c r="A225" s="36">
        <v>111</v>
      </c>
      <c r="B225" s="35" t="s">
        <v>32</v>
      </c>
      <c r="C225" s="36" t="s">
        <v>192</v>
      </c>
      <c r="D225" s="37" t="s">
        <v>34</v>
      </c>
      <c r="E225" s="44" t="s">
        <v>35</v>
      </c>
      <c r="F225" s="44" t="s">
        <v>35</v>
      </c>
      <c r="G225" s="44" t="s">
        <v>35</v>
      </c>
      <c r="H225" s="44" t="s">
        <v>39</v>
      </c>
      <c r="I225" s="44" t="s">
        <v>39</v>
      </c>
      <c r="J225" s="39"/>
      <c r="K225" s="39"/>
      <c r="L225" s="44" t="s">
        <v>35</v>
      </c>
      <c r="M225" s="44" t="s">
        <v>35</v>
      </c>
      <c r="N225" s="44" t="s">
        <v>35</v>
      </c>
      <c r="O225" s="44" t="s">
        <v>35</v>
      </c>
      <c r="P225" s="44" t="s">
        <v>35</v>
      </c>
      <c r="Q225" s="39"/>
      <c r="R225" s="39" t="s">
        <v>36</v>
      </c>
      <c r="S225" s="44" t="s">
        <v>35</v>
      </c>
      <c r="T225" s="44" t="s">
        <v>39</v>
      </c>
      <c r="U225" s="44" t="s">
        <v>35</v>
      </c>
      <c r="V225" s="44" t="s">
        <v>35</v>
      </c>
      <c r="W225" s="40"/>
      <c r="X225" s="39"/>
      <c r="Y225" s="39" t="s">
        <v>36</v>
      </c>
      <c r="Z225" s="44" t="s">
        <v>35</v>
      </c>
      <c r="AA225" s="44" t="s">
        <v>35</v>
      </c>
      <c r="AB225" s="44" t="s">
        <v>35</v>
      </c>
      <c r="AC225" s="44" t="s">
        <v>35</v>
      </c>
      <c r="AD225" s="44" t="s">
        <v>35</v>
      </c>
      <c r="AE225" s="39"/>
      <c r="AF225" s="39"/>
      <c r="AG225" s="44" t="s">
        <v>35</v>
      </c>
      <c r="AH225" s="44" t="s">
        <v>35</v>
      </c>
      <c r="AI225" s="48">
        <v>18</v>
      </c>
      <c r="AJ225" s="35">
        <f t="shared" si="215"/>
        <v>47</v>
      </c>
      <c r="AK225" s="35">
        <v>3</v>
      </c>
      <c r="AL225" s="35">
        <f t="shared" si="216"/>
        <v>47.5</v>
      </c>
      <c r="AM225" s="36">
        <f t="shared" si="217"/>
        <v>34</v>
      </c>
      <c r="AN225" s="36">
        <f t="shared" si="218"/>
        <v>10</v>
      </c>
      <c r="AO225" s="36">
        <f t="shared" si="219"/>
        <v>168</v>
      </c>
      <c r="AP225" s="36">
        <f t="shared" si="220"/>
        <v>259.5</v>
      </c>
      <c r="AQ225" s="36">
        <v>0</v>
      </c>
      <c r="AR225" s="36">
        <v>40</v>
      </c>
      <c r="AS225" s="36">
        <v>0</v>
      </c>
      <c r="AT225" s="36">
        <v>0</v>
      </c>
      <c r="AU225" s="36">
        <v>0</v>
      </c>
      <c r="AV225" s="36">
        <v>0</v>
      </c>
      <c r="AW225" s="36">
        <v>0</v>
      </c>
      <c r="AX225" s="36">
        <v>0</v>
      </c>
      <c r="AY225" s="36">
        <v>0</v>
      </c>
      <c r="AZ225" s="36">
        <v>0</v>
      </c>
    </row>
    <row r="226" s="24" customFormat="1" ht="21" customHeight="1" spans="1:52">
      <c r="A226" s="42"/>
      <c r="B226" s="43"/>
      <c r="C226" s="42"/>
      <c r="D226" s="37" t="s">
        <v>37</v>
      </c>
      <c r="E226" s="38">
        <v>4</v>
      </c>
      <c r="F226" s="38">
        <v>2</v>
      </c>
      <c r="G226" s="38">
        <v>2</v>
      </c>
      <c r="H226" s="38">
        <v>1.5</v>
      </c>
      <c r="I226" s="38"/>
      <c r="J226" s="39">
        <v>8</v>
      </c>
      <c r="K226" s="39">
        <v>3.5</v>
      </c>
      <c r="L226" s="38">
        <v>4</v>
      </c>
      <c r="M226" s="38">
        <v>3</v>
      </c>
      <c r="N226" s="38">
        <v>3.5</v>
      </c>
      <c r="O226" s="38">
        <v>2.5</v>
      </c>
      <c r="P226" s="44">
        <v>1.5</v>
      </c>
      <c r="Q226" s="39">
        <v>8</v>
      </c>
      <c r="R226" s="39"/>
      <c r="S226" s="38">
        <v>2</v>
      </c>
      <c r="T226" s="38"/>
      <c r="U226" s="38">
        <v>2</v>
      </c>
      <c r="V226" s="38">
        <v>2</v>
      </c>
      <c r="W226" s="40">
        <v>10</v>
      </c>
      <c r="X226" s="39">
        <v>3</v>
      </c>
      <c r="Y226" s="39"/>
      <c r="Z226" s="38">
        <v>3</v>
      </c>
      <c r="AA226" s="38">
        <v>2</v>
      </c>
      <c r="AB226" s="38">
        <v>2.5</v>
      </c>
      <c r="AC226" s="38">
        <v>2</v>
      </c>
      <c r="AD226" s="38">
        <v>2</v>
      </c>
      <c r="AE226" s="39">
        <v>8.5</v>
      </c>
      <c r="AF226" s="39">
        <v>3</v>
      </c>
      <c r="AG226" s="38">
        <v>3.5</v>
      </c>
      <c r="AH226" s="38">
        <v>2.5</v>
      </c>
      <c r="AI226" s="37">
        <v>29</v>
      </c>
      <c r="AJ226" s="43"/>
      <c r="AK226" s="43"/>
      <c r="AL226" s="43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</row>
    <row r="227" s="24" customFormat="1" ht="21" customHeight="1" spans="1:52">
      <c r="A227" s="36">
        <v>112</v>
      </c>
      <c r="B227" s="35" t="s">
        <v>40</v>
      </c>
      <c r="C227" s="36" t="s">
        <v>193</v>
      </c>
      <c r="D227" s="37" t="s">
        <v>34</v>
      </c>
      <c r="E227" s="44" t="s">
        <v>35</v>
      </c>
      <c r="F227" s="44" t="s">
        <v>35</v>
      </c>
      <c r="G227" s="44" t="s">
        <v>35</v>
      </c>
      <c r="H227" s="44" t="s">
        <v>39</v>
      </c>
      <c r="I227" s="44" t="s">
        <v>39</v>
      </c>
      <c r="J227" s="39" t="s">
        <v>39</v>
      </c>
      <c r="K227" s="39" t="s">
        <v>36</v>
      </c>
      <c r="L227" s="44" t="s">
        <v>35</v>
      </c>
      <c r="M227" s="44" t="s">
        <v>35</v>
      </c>
      <c r="N227" s="44" t="s">
        <v>39</v>
      </c>
      <c r="O227" s="44" t="s">
        <v>167</v>
      </c>
      <c r="P227" s="44" t="s">
        <v>167</v>
      </c>
      <c r="Q227" s="39" t="s">
        <v>36</v>
      </c>
      <c r="R227" s="39" t="s">
        <v>36</v>
      </c>
      <c r="S227" s="44" t="s">
        <v>35</v>
      </c>
      <c r="T227" s="44" t="s">
        <v>39</v>
      </c>
      <c r="U227" s="44" t="s">
        <v>39</v>
      </c>
      <c r="V227" s="44" t="s">
        <v>39</v>
      </c>
      <c r="W227" s="40" t="s">
        <v>36</v>
      </c>
      <c r="X227" s="39" t="s">
        <v>36</v>
      </c>
      <c r="Y227" s="39" t="s">
        <v>36</v>
      </c>
      <c r="Z227" s="44" t="s">
        <v>35</v>
      </c>
      <c r="AA227" s="44" t="s">
        <v>35</v>
      </c>
      <c r="AB227" s="44" t="s">
        <v>39</v>
      </c>
      <c r="AC227" s="44" t="s">
        <v>39</v>
      </c>
      <c r="AD227" s="44" t="s">
        <v>39</v>
      </c>
      <c r="AE227" s="39" t="s">
        <v>39</v>
      </c>
      <c r="AF227" s="39" t="s">
        <v>36</v>
      </c>
      <c r="AG227" s="44" t="s">
        <v>35</v>
      </c>
      <c r="AH227" s="44" t="s">
        <v>35</v>
      </c>
      <c r="AI227" s="37">
        <v>10</v>
      </c>
      <c r="AJ227" s="35">
        <f t="shared" ref="AJ227:AJ231" si="221">AI227+AI228</f>
        <v>10</v>
      </c>
      <c r="AK227" s="35">
        <v>11</v>
      </c>
      <c r="AL227" s="35">
        <f t="shared" ref="AL227:AL231" si="222">E228+F228+G228+H228+I228+L228+M228+N228+O228+P228+S228+T228+U228+V228+Z228+AA228+AB228+AC228+AD228+AG228+AH228</f>
        <v>0</v>
      </c>
      <c r="AM227" s="36">
        <f t="shared" ref="AM227:AM231" si="223">J228+K228+Q228+R228+X228+Y228+AE228+AF228</f>
        <v>0</v>
      </c>
      <c r="AN227" s="36">
        <f t="shared" ref="AN227:AN231" si="224">W228</f>
        <v>0</v>
      </c>
      <c r="AO227" s="36">
        <f t="shared" ref="AO227:AO231" si="225">21*8</f>
        <v>168</v>
      </c>
      <c r="AP227" s="36">
        <f t="shared" ref="AP227:AP231" si="226">AL227+AM227+AN227+AO227-AQ227-AS227-AT227-AV227-AW227-AX227-AY227-AZ227-AU227</f>
        <v>152</v>
      </c>
      <c r="AQ227" s="36">
        <v>0</v>
      </c>
      <c r="AR227" s="36">
        <v>33.5</v>
      </c>
      <c r="AS227" s="36">
        <v>0</v>
      </c>
      <c r="AT227" s="36">
        <v>0</v>
      </c>
      <c r="AU227" s="36">
        <v>0</v>
      </c>
      <c r="AV227" s="36">
        <v>0</v>
      </c>
      <c r="AW227" s="36">
        <v>0</v>
      </c>
      <c r="AX227" s="36">
        <v>0</v>
      </c>
      <c r="AY227" s="36">
        <v>16</v>
      </c>
      <c r="AZ227" s="36">
        <v>0</v>
      </c>
    </row>
    <row r="228" s="24" customFormat="1" ht="21" customHeight="1" spans="1:52">
      <c r="A228" s="42"/>
      <c r="B228" s="43"/>
      <c r="C228" s="42"/>
      <c r="D228" s="37" t="s">
        <v>37</v>
      </c>
      <c r="E228" s="38"/>
      <c r="F228" s="38"/>
      <c r="G228" s="38"/>
      <c r="H228" s="38"/>
      <c r="I228" s="38"/>
      <c r="J228" s="39"/>
      <c r="K228" s="39"/>
      <c r="L228" s="38"/>
      <c r="M228" s="38"/>
      <c r="N228" s="38"/>
      <c r="O228" s="38"/>
      <c r="P228" s="38"/>
      <c r="Q228" s="39"/>
      <c r="R228" s="39"/>
      <c r="S228" s="38"/>
      <c r="T228" s="38"/>
      <c r="U228" s="38"/>
      <c r="V228" s="38"/>
      <c r="W228" s="40"/>
      <c r="X228" s="39"/>
      <c r="Y228" s="39"/>
      <c r="Z228" s="38"/>
      <c r="AA228" s="38"/>
      <c r="AB228" s="38"/>
      <c r="AC228" s="38"/>
      <c r="AD228" s="38"/>
      <c r="AE228" s="39"/>
      <c r="AF228" s="39"/>
      <c r="AG228" s="38"/>
      <c r="AH228" s="38"/>
      <c r="AI228" s="37">
        <v>0</v>
      </c>
      <c r="AJ228" s="43"/>
      <c r="AK228" s="43"/>
      <c r="AL228" s="43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</row>
    <row r="229" s="24" customFormat="1" ht="21" customHeight="1" spans="1:52">
      <c r="A229" s="36">
        <v>113</v>
      </c>
      <c r="B229" s="35" t="s">
        <v>32</v>
      </c>
      <c r="C229" s="36" t="s">
        <v>194</v>
      </c>
      <c r="D229" s="37" t="s">
        <v>34</v>
      </c>
      <c r="E229" s="44" t="s">
        <v>39</v>
      </c>
      <c r="F229" s="44" t="s">
        <v>39</v>
      </c>
      <c r="G229" s="44" t="s">
        <v>39</v>
      </c>
      <c r="H229" s="44" t="s">
        <v>39</v>
      </c>
      <c r="I229" s="44" t="s">
        <v>39</v>
      </c>
      <c r="J229" s="39" t="s">
        <v>39</v>
      </c>
      <c r="K229" s="39" t="s">
        <v>39</v>
      </c>
      <c r="L229" s="44" t="s">
        <v>39</v>
      </c>
      <c r="M229" s="44" t="s">
        <v>39</v>
      </c>
      <c r="N229" s="44" t="s">
        <v>39</v>
      </c>
      <c r="O229" s="44" t="s">
        <v>39</v>
      </c>
      <c r="P229" s="44" t="s">
        <v>39</v>
      </c>
      <c r="Q229" s="39" t="s">
        <v>36</v>
      </c>
      <c r="R229" s="39"/>
      <c r="S229" s="44" t="s">
        <v>35</v>
      </c>
      <c r="T229" s="44" t="s">
        <v>35</v>
      </c>
      <c r="U229" s="44" t="s">
        <v>35</v>
      </c>
      <c r="V229" s="44" t="s">
        <v>35</v>
      </c>
      <c r="W229" s="40"/>
      <c r="X229" s="39"/>
      <c r="Y229" s="39"/>
      <c r="Z229" s="44" t="s">
        <v>35</v>
      </c>
      <c r="AA229" s="44" t="s">
        <v>35</v>
      </c>
      <c r="AB229" s="44" t="s">
        <v>35</v>
      </c>
      <c r="AC229" s="44" t="s">
        <v>35</v>
      </c>
      <c r="AD229" s="44" t="s">
        <v>35</v>
      </c>
      <c r="AE229" s="39"/>
      <c r="AF229" s="39"/>
      <c r="AG229" s="44" t="s">
        <v>35</v>
      </c>
      <c r="AH229" s="44" t="s">
        <v>195</v>
      </c>
      <c r="AI229" s="37">
        <v>10</v>
      </c>
      <c r="AJ229" s="35">
        <f t="shared" si="221"/>
        <v>27</v>
      </c>
      <c r="AK229" s="35">
        <v>12</v>
      </c>
      <c r="AL229" s="35">
        <f t="shared" si="222"/>
        <v>40</v>
      </c>
      <c r="AM229" s="36">
        <f t="shared" si="223"/>
        <v>39</v>
      </c>
      <c r="AN229" s="36">
        <f t="shared" si="224"/>
        <v>7</v>
      </c>
      <c r="AO229" s="36">
        <f t="shared" si="225"/>
        <v>168</v>
      </c>
      <c r="AP229" s="36">
        <f t="shared" si="226"/>
        <v>252</v>
      </c>
      <c r="AQ229" s="36">
        <v>0</v>
      </c>
      <c r="AR229" s="36">
        <v>0</v>
      </c>
      <c r="AS229" s="36">
        <v>0</v>
      </c>
      <c r="AT229" s="36">
        <v>2</v>
      </c>
      <c r="AU229" s="36">
        <v>0</v>
      </c>
      <c r="AV229" s="36">
        <v>0</v>
      </c>
      <c r="AW229" s="36">
        <v>0</v>
      </c>
      <c r="AX229" s="36">
        <v>0</v>
      </c>
      <c r="AY229" s="36">
        <v>0</v>
      </c>
      <c r="AZ229" s="36">
        <v>0</v>
      </c>
    </row>
    <row r="230" s="24" customFormat="1" ht="21" customHeight="1" spans="1:52">
      <c r="A230" s="42"/>
      <c r="B230" s="43"/>
      <c r="C230" s="42"/>
      <c r="D230" s="37" t="s">
        <v>37</v>
      </c>
      <c r="E230" s="38">
        <v>1.5</v>
      </c>
      <c r="F230" s="38">
        <v>1.5</v>
      </c>
      <c r="G230" s="38">
        <v>1.5</v>
      </c>
      <c r="H230" s="38">
        <v>1.5</v>
      </c>
      <c r="I230" s="38"/>
      <c r="J230" s="39">
        <v>8</v>
      </c>
      <c r="K230" s="39"/>
      <c r="L230" s="38">
        <v>1.5</v>
      </c>
      <c r="M230" s="38">
        <v>1.5</v>
      </c>
      <c r="N230" s="38">
        <v>1.5</v>
      </c>
      <c r="O230" s="38">
        <v>2</v>
      </c>
      <c r="P230" s="38"/>
      <c r="Q230" s="39"/>
      <c r="R230" s="39">
        <v>5.5</v>
      </c>
      <c r="S230" s="38">
        <v>2.5</v>
      </c>
      <c r="T230" s="38">
        <v>2.5</v>
      </c>
      <c r="U230" s="38">
        <v>2</v>
      </c>
      <c r="V230" s="38">
        <v>2</v>
      </c>
      <c r="W230" s="40">
        <v>7</v>
      </c>
      <c r="X230" s="39">
        <v>10</v>
      </c>
      <c r="Y230" s="39">
        <v>4</v>
      </c>
      <c r="Z230" s="38">
        <v>2</v>
      </c>
      <c r="AA230" s="38">
        <v>2.5</v>
      </c>
      <c r="AB230" s="38">
        <v>5.5</v>
      </c>
      <c r="AC230" s="38">
        <v>3.5</v>
      </c>
      <c r="AD230" s="38"/>
      <c r="AE230" s="39">
        <v>6.5</v>
      </c>
      <c r="AF230" s="39">
        <v>5</v>
      </c>
      <c r="AG230" s="38">
        <v>2.5</v>
      </c>
      <c r="AH230" s="38">
        <v>2.5</v>
      </c>
      <c r="AI230" s="37">
        <v>17</v>
      </c>
      <c r="AJ230" s="43"/>
      <c r="AK230" s="43"/>
      <c r="AL230" s="43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</row>
    <row r="231" s="24" customFormat="1" ht="21" customHeight="1" spans="1:52">
      <c r="A231" s="36">
        <v>114</v>
      </c>
      <c r="B231" s="35" t="s">
        <v>32</v>
      </c>
      <c r="C231" s="36" t="s">
        <v>196</v>
      </c>
      <c r="D231" s="37" t="s">
        <v>34</v>
      </c>
      <c r="E231" s="44" t="s">
        <v>35</v>
      </c>
      <c r="F231" s="44" t="s">
        <v>35</v>
      </c>
      <c r="G231" s="44" t="s">
        <v>35</v>
      </c>
      <c r="H231" s="44" t="s">
        <v>35</v>
      </c>
      <c r="I231" s="44" t="s">
        <v>35</v>
      </c>
      <c r="J231" s="39"/>
      <c r="K231" s="39"/>
      <c r="L231" s="44" t="s">
        <v>35</v>
      </c>
      <c r="M231" s="44" t="s">
        <v>42</v>
      </c>
      <c r="N231" s="44" t="s">
        <v>35</v>
      </c>
      <c r="O231" s="44" t="s">
        <v>35</v>
      </c>
      <c r="P231" s="44" t="s">
        <v>35</v>
      </c>
      <c r="Q231" s="39" t="s">
        <v>36</v>
      </c>
      <c r="R231" s="39"/>
      <c r="S231" s="44" t="s">
        <v>35</v>
      </c>
      <c r="T231" s="44" t="s">
        <v>35</v>
      </c>
      <c r="U231" s="44" t="s">
        <v>35</v>
      </c>
      <c r="V231" s="44" t="s">
        <v>35</v>
      </c>
      <c r="W231" s="40" t="s">
        <v>36</v>
      </c>
      <c r="X231" s="39" t="s">
        <v>36</v>
      </c>
      <c r="Y231" s="39" t="s">
        <v>36</v>
      </c>
      <c r="Z231" s="44" t="s">
        <v>50</v>
      </c>
      <c r="AA231" s="44" t="s">
        <v>35</v>
      </c>
      <c r="AB231" s="44" t="s">
        <v>35</v>
      </c>
      <c r="AC231" s="44" t="s">
        <v>35</v>
      </c>
      <c r="AD231" s="44" t="s">
        <v>35</v>
      </c>
      <c r="AE231" s="39" t="s">
        <v>36</v>
      </c>
      <c r="AF231" s="39" t="s">
        <v>36</v>
      </c>
      <c r="AG231" s="44" t="s">
        <v>35</v>
      </c>
      <c r="AH231" s="44" t="s">
        <v>35</v>
      </c>
      <c r="AI231" s="37">
        <v>20</v>
      </c>
      <c r="AJ231" s="35">
        <f t="shared" si="221"/>
        <v>48</v>
      </c>
      <c r="AK231" s="35">
        <v>0</v>
      </c>
      <c r="AL231" s="35">
        <f t="shared" si="222"/>
        <v>92.5</v>
      </c>
      <c r="AM231" s="36">
        <f t="shared" si="223"/>
        <v>32.5</v>
      </c>
      <c r="AN231" s="36">
        <f t="shared" si="224"/>
        <v>0</v>
      </c>
      <c r="AO231" s="36">
        <f t="shared" si="225"/>
        <v>168</v>
      </c>
      <c r="AP231" s="36">
        <f t="shared" si="226"/>
        <v>280.5</v>
      </c>
      <c r="AQ231" s="36">
        <v>0</v>
      </c>
      <c r="AR231" s="36">
        <v>0</v>
      </c>
      <c r="AS231" s="36">
        <v>0</v>
      </c>
      <c r="AT231" s="36">
        <v>12.5</v>
      </c>
      <c r="AU231" s="36">
        <v>0</v>
      </c>
      <c r="AV231" s="36">
        <v>0</v>
      </c>
      <c r="AW231" s="36">
        <v>0</v>
      </c>
      <c r="AX231" s="36">
        <v>0</v>
      </c>
      <c r="AY231" s="36">
        <v>0</v>
      </c>
      <c r="AZ231" s="36">
        <v>0</v>
      </c>
    </row>
    <row r="232" s="24" customFormat="1" ht="21" customHeight="1" spans="1:52">
      <c r="A232" s="42"/>
      <c r="B232" s="43"/>
      <c r="C232" s="42"/>
      <c r="D232" s="37" t="s">
        <v>37</v>
      </c>
      <c r="E232" s="38">
        <v>6.5</v>
      </c>
      <c r="F232" s="38">
        <v>6.5</v>
      </c>
      <c r="G232" s="38">
        <v>3.5</v>
      </c>
      <c r="H232" s="38">
        <v>5.5</v>
      </c>
      <c r="I232" s="38">
        <v>1</v>
      </c>
      <c r="J232" s="39">
        <v>18.5</v>
      </c>
      <c r="K232" s="39">
        <v>6.5</v>
      </c>
      <c r="L232" s="38">
        <v>10</v>
      </c>
      <c r="M232" s="38">
        <v>6.5</v>
      </c>
      <c r="N232" s="38">
        <v>8</v>
      </c>
      <c r="O232" s="38">
        <v>8</v>
      </c>
      <c r="P232" s="38">
        <v>11</v>
      </c>
      <c r="Q232" s="39"/>
      <c r="R232" s="39">
        <v>7.5</v>
      </c>
      <c r="S232" s="38">
        <v>5</v>
      </c>
      <c r="T232" s="38">
        <v>5.5</v>
      </c>
      <c r="U232" s="38">
        <v>2</v>
      </c>
      <c r="V232" s="38"/>
      <c r="W232" s="40"/>
      <c r="X232" s="39"/>
      <c r="Y232" s="39"/>
      <c r="Z232" s="38"/>
      <c r="AA232" s="38">
        <v>2.5</v>
      </c>
      <c r="AB232" s="38">
        <v>3.5</v>
      </c>
      <c r="AC232" s="38"/>
      <c r="AD232" s="38"/>
      <c r="AE232" s="39"/>
      <c r="AF232" s="39"/>
      <c r="AG232" s="38">
        <v>6</v>
      </c>
      <c r="AH232" s="44">
        <v>1.5</v>
      </c>
      <c r="AI232" s="37">
        <v>28</v>
      </c>
      <c r="AJ232" s="43"/>
      <c r="AK232" s="43"/>
      <c r="AL232" s="43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</row>
    <row r="233" s="24" customFormat="1" ht="21" customHeight="1" spans="1:52">
      <c r="A233" s="36">
        <v>115</v>
      </c>
      <c r="B233" s="35" t="s">
        <v>32</v>
      </c>
      <c r="C233" s="36" t="s">
        <v>197</v>
      </c>
      <c r="D233" s="37" t="s">
        <v>34</v>
      </c>
      <c r="E233" s="44" t="s">
        <v>35</v>
      </c>
      <c r="F233" s="44" t="s">
        <v>35</v>
      </c>
      <c r="G233" s="44" t="s">
        <v>35</v>
      </c>
      <c r="H233" s="44" t="s">
        <v>35</v>
      </c>
      <c r="I233" s="44" t="s">
        <v>35</v>
      </c>
      <c r="J233" s="39"/>
      <c r="K233" s="39"/>
      <c r="L233" s="44" t="s">
        <v>35</v>
      </c>
      <c r="M233" s="44" t="s">
        <v>35</v>
      </c>
      <c r="N233" s="44" t="s">
        <v>35</v>
      </c>
      <c r="O233" s="44" t="s">
        <v>35</v>
      </c>
      <c r="P233" s="44" t="s">
        <v>35</v>
      </c>
      <c r="Q233" s="39"/>
      <c r="R233" s="39"/>
      <c r="S233" s="44" t="s">
        <v>35</v>
      </c>
      <c r="T233" s="44" t="s">
        <v>35</v>
      </c>
      <c r="U233" s="44" t="s">
        <v>35</v>
      </c>
      <c r="V233" s="44" t="s">
        <v>35</v>
      </c>
      <c r="W233" s="40"/>
      <c r="X233" s="39"/>
      <c r="Y233" s="39"/>
      <c r="Z233" s="44" t="s">
        <v>35</v>
      </c>
      <c r="AA233" s="44" t="s">
        <v>35</v>
      </c>
      <c r="AB233" s="44" t="s">
        <v>35</v>
      </c>
      <c r="AC233" s="44" t="s">
        <v>35</v>
      </c>
      <c r="AD233" s="44" t="s">
        <v>35</v>
      </c>
      <c r="AE233" s="39"/>
      <c r="AF233" s="39"/>
      <c r="AG233" s="44" t="s">
        <v>35</v>
      </c>
      <c r="AH233" s="44" t="s">
        <v>35</v>
      </c>
      <c r="AI233" s="37">
        <v>21</v>
      </c>
      <c r="AJ233" s="35">
        <f t="shared" ref="AJ233:AJ237" si="227">AI233+AI234</f>
        <v>44</v>
      </c>
      <c r="AK233" s="35">
        <v>0</v>
      </c>
      <c r="AL233" s="35">
        <f t="shared" ref="AL233:AL237" si="228">E234+F234+G234+H234+I234+L234+M234+N234+O234+P234+S234+T234+U234+V234+Z234+AA234+AB234+AC234+AD234+AG234+AH234</f>
        <v>40.5</v>
      </c>
      <c r="AM233" s="36">
        <f t="shared" ref="AM233:AM237" si="229">J234+K234+Q234+R234+X234+Y234+AE234+AF234</f>
        <v>61</v>
      </c>
      <c r="AN233" s="36">
        <f t="shared" ref="AN233:AN237" si="230">W234</f>
        <v>10.5</v>
      </c>
      <c r="AO233" s="36">
        <f t="shared" ref="AO233:AO237" si="231">21*8</f>
        <v>168</v>
      </c>
      <c r="AP233" s="36">
        <f t="shared" ref="AP233:AP237" si="232">AL233+AM233+AN233+AO233-AQ233-AS233-AT233-AV233-AW233-AX233-AY233-AZ233-AU233</f>
        <v>280</v>
      </c>
      <c r="AQ233" s="36">
        <v>0</v>
      </c>
      <c r="AR233" s="36">
        <v>0</v>
      </c>
      <c r="AS233" s="36">
        <v>0</v>
      </c>
      <c r="AT233" s="36">
        <v>0</v>
      </c>
      <c r="AU233" s="36">
        <v>0</v>
      </c>
      <c r="AV233" s="36">
        <v>0</v>
      </c>
      <c r="AW233" s="36">
        <v>0</v>
      </c>
      <c r="AX233" s="36">
        <v>0</v>
      </c>
      <c r="AY233" s="36">
        <v>0</v>
      </c>
      <c r="AZ233" s="36">
        <v>0</v>
      </c>
    </row>
    <row r="234" s="24" customFormat="1" ht="21" customHeight="1" spans="1:52">
      <c r="A234" s="42"/>
      <c r="B234" s="43"/>
      <c r="C234" s="42"/>
      <c r="D234" s="37" t="s">
        <v>37</v>
      </c>
      <c r="E234" s="38"/>
      <c r="F234" s="38">
        <v>2.5</v>
      </c>
      <c r="G234" s="38"/>
      <c r="H234" s="38"/>
      <c r="I234" s="38"/>
      <c r="J234" s="39">
        <v>8</v>
      </c>
      <c r="K234" s="39">
        <v>4.5</v>
      </c>
      <c r="L234" s="38">
        <v>2.5</v>
      </c>
      <c r="M234" s="38">
        <v>2</v>
      </c>
      <c r="N234" s="38">
        <v>2</v>
      </c>
      <c r="O234" s="38">
        <v>2.5</v>
      </c>
      <c r="P234" s="38">
        <v>3</v>
      </c>
      <c r="Q234" s="39">
        <v>10.5</v>
      </c>
      <c r="R234" s="39">
        <v>8</v>
      </c>
      <c r="S234" s="38">
        <v>3</v>
      </c>
      <c r="T234" s="38">
        <v>3</v>
      </c>
      <c r="U234" s="38">
        <v>2.5</v>
      </c>
      <c r="V234" s="38">
        <v>3</v>
      </c>
      <c r="W234" s="40">
        <v>10.5</v>
      </c>
      <c r="X234" s="39">
        <v>9.5</v>
      </c>
      <c r="Y234" s="39">
        <v>8</v>
      </c>
      <c r="Z234" s="38"/>
      <c r="AA234" s="38">
        <v>2.5</v>
      </c>
      <c r="AB234" s="38">
        <v>2.5</v>
      </c>
      <c r="AC234" s="38">
        <v>4.5</v>
      </c>
      <c r="AD234" s="38"/>
      <c r="AE234" s="39">
        <v>8</v>
      </c>
      <c r="AF234" s="39">
        <v>4.5</v>
      </c>
      <c r="AG234" s="38">
        <v>2</v>
      </c>
      <c r="AH234" s="38">
        <v>3</v>
      </c>
      <c r="AI234" s="37">
        <v>23</v>
      </c>
      <c r="AJ234" s="43"/>
      <c r="AK234" s="43"/>
      <c r="AL234" s="43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</row>
    <row r="235" s="24" customFormat="1" ht="21" customHeight="1" spans="1:52">
      <c r="A235" s="36">
        <v>116</v>
      </c>
      <c r="B235" s="35" t="s">
        <v>40</v>
      </c>
      <c r="C235" s="36" t="s">
        <v>198</v>
      </c>
      <c r="D235" s="37" t="s">
        <v>34</v>
      </c>
      <c r="E235" s="44" t="s">
        <v>35</v>
      </c>
      <c r="F235" s="44" t="s">
        <v>35</v>
      </c>
      <c r="G235" s="44" t="s">
        <v>35</v>
      </c>
      <c r="H235" s="44" t="s">
        <v>35</v>
      </c>
      <c r="I235" s="44" t="s">
        <v>35</v>
      </c>
      <c r="J235" s="39"/>
      <c r="K235" s="39" t="s">
        <v>36</v>
      </c>
      <c r="L235" s="44" t="s">
        <v>35</v>
      </c>
      <c r="M235" s="44" t="s">
        <v>35</v>
      </c>
      <c r="N235" s="44" t="s">
        <v>35</v>
      </c>
      <c r="O235" s="44" t="s">
        <v>35</v>
      </c>
      <c r="P235" s="44" t="s">
        <v>50</v>
      </c>
      <c r="Q235" s="39" t="s">
        <v>36</v>
      </c>
      <c r="R235" s="39"/>
      <c r="S235" s="44" t="s">
        <v>35</v>
      </c>
      <c r="T235" s="44" t="s">
        <v>35</v>
      </c>
      <c r="U235" s="44" t="s">
        <v>35</v>
      </c>
      <c r="V235" s="44" t="s">
        <v>35</v>
      </c>
      <c r="W235" s="40" t="s">
        <v>36</v>
      </c>
      <c r="X235" s="39"/>
      <c r="Y235" s="39" t="s">
        <v>36</v>
      </c>
      <c r="Z235" s="44" t="s">
        <v>35</v>
      </c>
      <c r="AA235" s="44" t="s">
        <v>35</v>
      </c>
      <c r="AB235" s="44" t="s">
        <v>35</v>
      </c>
      <c r="AC235" s="44" t="s">
        <v>35</v>
      </c>
      <c r="AD235" s="44" t="s">
        <v>35</v>
      </c>
      <c r="AE235" s="39"/>
      <c r="AF235" s="39" t="s">
        <v>36</v>
      </c>
      <c r="AG235" s="44" t="s">
        <v>35</v>
      </c>
      <c r="AH235" s="44" t="s">
        <v>35</v>
      </c>
      <c r="AI235" s="37">
        <v>20</v>
      </c>
      <c r="AJ235" s="35">
        <f t="shared" si="227"/>
        <v>28</v>
      </c>
      <c r="AK235" s="35">
        <v>0</v>
      </c>
      <c r="AL235" s="35">
        <f t="shared" si="228"/>
        <v>10</v>
      </c>
      <c r="AM235" s="36">
        <f t="shared" si="229"/>
        <v>23</v>
      </c>
      <c r="AN235" s="36">
        <f t="shared" si="230"/>
        <v>0</v>
      </c>
      <c r="AO235" s="36">
        <f t="shared" si="231"/>
        <v>168</v>
      </c>
      <c r="AP235" s="36">
        <f t="shared" si="232"/>
        <v>193</v>
      </c>
      <c r="AQ235" s="36">
        <v>0</v>
      </c>
      <c r="AR235" s="36">
        <v>0</v>
      </c>
      <c r="AS235" s="36">
        <v>0</v>
      </c>
      <c r="AT235" s="36">
        <v>8</v>
      </c>
      <c r="AU235" s="36">
        <v>0</v>
      </c>
      <c r="AV235" s="36">
        <v>0</v>
      </c>
      <c r="AW235" s="36">
        <v>0</v>
      </c>
      <c r="AX235" s="36">
        <v>0</v>
      </c>
      <c r="AY235" s="36">
        <v>0</v>
      </c>
      <c r="AZ235" s="36">
        <v>0</v>
      </c>
    </row>
    <row r="236" s="24" customFormat="1" ht="21" customHeight="1" spans="1:52">
      <c r="A236" s="42"/>
      <c r="B236" s="43"/>
      <c r="C236" s="42"/>
      <c r="D236" s="37" t="s">
        <v>37</v>
      </c>
      <c r="E236" s="38"/>
      <c r="F236" s="38"/>
      <c r="G236" s="38"/>
      <c r="H236" s="38"/>
      <c r="I236" s="38"/>
      <c r="J236" s="39">
        <v>8</v>
      </c>
      <c r="K236" s="39"/>
      <c r="L236" s="44">
        <v>1.5</v>
      </c>
      <c r="M236" s="38"/>
      <c r="N236" s="38">
        <v>2</v>
      </c>
      <c r="O236" s="44">
        <v>1.5</v>
      </c>
      <c r="P236" s="38"/>
      <c r="Q236" s="39"/>
      <c r="R236" s="39">
        <v>3.5</v>
      </c>
      <c r="S236" s="44">
        <v>1.5</v>
      </c>
      <c r="T236" s="38"/>
      <c r="U236" s="38"/>
      <c r="V236" s="38"/>
      <c r="W236" s="40"/>
      <c r="X236" s="39">
        <v>8</v>
      </c>
      <c r="Y236" s="39"/>
      <c r="Z236" s="38"/>
      <c r="AA236" s="38">
        <v>1</v>
      </c>
      <c r="AB236" s="38">
        <v>2.5</v>
      </c>
      <c r="AC236" s="38"/>
      <c r="AD236" s="38"/>
      <c r="AE236" s="39">
        <v>3.5</v>
      </c>
      <c r="AF236" s="39"/>
      <c r="AG236" s="38"/>
      <c r="AH236" s="38"/>
      <c r="AI236" s="37">
        <v>8</v>
      </c>
      <c r="AJ236" s="43"/>
      <c r="AK236" s="43"/>
      <c r="AL236" s="43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</row>
    <row r="237" s="24" customFormat="1" ht="21" customHeight="1" spans="1:52">
      <c r="A237" s="36">
        <v>117</v>
      </c>
      <c r="B237" s="35" t="s">
        <v>32</v>
      </c>
      <c r="C237" s="36" t="s">
        <v>199</v>
      </c>
      <c r="D237" s="37" t="s">
        <v>34</v>
      </c>
      <c r="E237" s="44" t="s">
        <v>35</v>
      </c>
      <c r="F237" s="44" t="s">
        <v>35</v>
      </c>
      <c r="G237" s="44" t="s">
        <v>35</v>
      </c>
      <c r="H237" s="44" t="s">
        <v>35</v>
      </c>
      <c r="I237" s="44" t="s">
        <v>35</v>
      </c>
      <c r="J237" s="39" t="s">
        <v>36</v>
      </c>
      <c r="K237" s="39" t="s">
        <v>36</v>
      </c>
      <c r="L237" s="44" t="s">
        <v>35</v>
      </c>
      <c r="M237" s="44" t="s">
        <v>35</v>
      </c>
      <c r="N237" s="44" t="s">
        <v>54</v>
      </c>
      <c r="O237" s="44" t="s">
        <v>35</v>
      </c>
      <c r="P237" s="44" t="s">
        <v>35</v>
      </c>
      <c r="Q237" s="39"/>
      <c r="R237" s="39" t="s">
        <v>36</v>
      </c>
      <c r="S237" s="44" t="s">
        <v>35</v>
      </c>
      <c r="T237" s="44" t="s">
        <v>35</v>
      </c>
      <c r="U237" s="44" t="s">
        <v>35</v>
      </c>
      <c r="V237" s="44" t="s">
        <v>35</v>
      </c>
      <c r="W237" s="40" t="s">
        <v>36</v>
      </c>
      <c r="X237" s="39" t="s">
        <v>36</v>
      </c>
      <c r="Y237" s="39" t="s">
        <v>36</v>
      </c>
      <c r="Z237" s="44" t="s">
        <v>35</v>
      </c>
      <c r="AA237" s="44" t="s">
        <v>35</v>
      </c>
      <c r="AB237" s="44" t="s">
        <v>35</v>
      </c>
      <c r="AC237" s="44" t="s">
        <v>35</v>
      </c>
      <c r="AD237" s="44" t="s">
        <v>35</v>
      </c>
      <c r="AE237" s="39"/>
      <c r="AF237" s="39"/>
      <c r="AG237" s="44" t="s">
        <v>35</v>
      </c>
      <c r="AH237" s="44" t="s">
        <v>35</v>
      </c>
      <c r="AI237" s="37">
        <v>20</v>
      </c>
      <c r="AJ237" s="35">
        <f t="shared" si="227"/>
        <v>37</v>
      </c>
      <c r="AK237" s="35">
        <v>0</v>
      </c>
      <c r="AL237" s="35">
        <f t="shared" si="228"/>
        <v>28</v>
      </c>
      <c r="AM237" s="36">
        <f t="shared" si="229"/>
        <v>22.5</v>
      </c>
      <c r="AN237" s="36">
        <f t="shared" si="230"/>
        <v>0</v>
      </c>
      <c r="AO237" s="36">
        <f t="shared" si="231"/>
        <v>168</v>
      </c>
      <c r="AP237" s="36">
        <f t="shared" si="232"/>
        <v>210.5</v>
      </c>
      <c r="AQ237" s="36">
        <v>8</v>
      </c>
      <c r="AR237" s="36">
        <f>32-AQ237</f>
        <v>24</v>
      </c>
      <c r="AS237" s="36">
        <v>0</v>
      </c>
      <c r="AT237" s="36">
        <v>0</v>
      </c>
      <c r="AU237" s="36">
        <v>0</v>
      </c>
      <c r="AV237" s="36">
        <v>0</v>
      </c>
      <c r="AW237" s="36">
        <v>0</v>
      </c>
      <c r="AX237" s="36">
        <v>0</v>
      </c>
      <c r="AY237" s="36">
        <v>0</v>
      </c>
      <c r="AZ237" s="36">
        <v>0</v>
      </c>
    </row>
    <row r="238" s="24" customFormat="1" ht="21" customHeight="1" spans="1:52">
      <c r="A238" s="42"/>
      <c r="B238" s="43"/>
      <c r="C238" s="42"/>
      <c r="D238" s="37" t="s">
        <v>37</v>
      </c>
      <c r="E238" s="38">
        <v>2</v>
      </c>
      <c r="F238" s="38">
        <v>2</v>
      </c>
      <c r="G238" s="38">
        <v>2</v>
      </c>
      <c r="H238" s="38"/>
      <c r="I238" s="38"/>
      <c r="J238" s="39"/>
      <c r="K238" s="39"/>
      <c r="L238" s="44">
        <v>1.5</v>
      </c>
      <c r="M238" s="44">
        <v>1.5</v>
      </c>
      <c r="N238" s="38"/>
      <c r="O238" s="44">
        <v>1.5</v>
      </c>
      <c r="P238" s="38"/>
      <c r="Q238" s="39">
        <v>6</v>
      </c>
      <c r="R238" s="39"/>
      <c r="S238" s="38">
        <v>2</v>
      </c>
      <c r="T238" s="44">
        <v>1.5</v>
      </c>
      <c r="U238" s="44">
        <v>1.5</v>
      </c>
      <c r="V238" s="38"/>
      <c r="W238" s="40"/>
      <c r="X238" s="39"/>
      <c r="Y238" s="39"/>
      <c r="Z238" s="38">
        <v>1</v>
      </c>
      <c r="AA238" s="38">
        <v>2.5</v>
      </c>
      <c r="AB238" s="38">
        <v>2.5</v>
      </c>
      <c r="AC238" s="38">
        <v>2.5</v>
      </c>
      <c r="AD238" s="38"/>
      <c r="AE238" s="39">
        <v>8.5</v>
      </c>
      <c r="AF238" s="39">
        <v>8</v>
      </c>
      <c r="AG238" s="38">
        <v>2.5</v>
      </c>
      <c r="AH238" s="44">
        <v>1.5</v>
      </c>
      <c r="AI238" s="37">
        <v>17</v>
      </c>
      <c r="AJ238" s="43"/>
      <c r="AK238" s="43"/>
      <c r="AL238" s="43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</row>
    <row r="239" s="24" customFormat="1" ht="21" customHeight="1" spans="1:52">
      <c r="A239" s="36">
        <v>118</v>
      </c>
      <c r="B239" s="35" t="s">
        <v>32</v>
      </c>
      <c r="C239" s="36" t="s">
        <v>200</v>
      </c>
      <c r="D239" s="37" t="s">
        <v>34</v>
      </c>
      <c r="E239" s="44" t="s">
        <v>35</v>
      </c>
      <c r="F239" s="44" t="s">
        <v>35</v>
      </c>
      <c r="G239" s="44" t="s">
        <v>46</v>
      </c>
      <c r="H239" s="44" t="s">
        <v>35</v>
      </c>
      <c r="I239" s="44" t="s">
        <v>35</v>
      </c>
      <c r="J239" s="39" t="s">
        <v>36</v>
      </c>
      <c r="K239" s="39" t="s">
        <v>36</v>
      </c>
      <c r="L239" s="44" t="s">
        <v>35</v>
      </c>
      <c r="M239" s="44" t="s">
        <v>35</v>
      </c>
      <c r="N239" s="44" t="s">
        <v>35</v>
      </c>
      <c r="O239" s="44" t="s">
        <v>35</v>
      </c>
      <c r="P239" s="44" t="s">
        <v>35</v>
      </c>
      <c r="Q239" s="39" t="s">
        <v>36</v>
      </c>
      <c r="R239" s="39" t="s">
        <v>36</v>
      </c>
      <c r="S239" s="44" t="s">
        <v>35</v>
      </c>
      <c r="T239" s="44" t="s">
        <v>35</v>
      </c>
      <c r="U239" s="44" t="s">
        <v>35</v>
      </c>
      <c r="V239" s="44" t="s">
        <v>35</v>
      </c>
      <c r="W239" s="40" t="s">
        <v>36</v>
      </c>
      <c r="X239" s="39" t="s">
        <v>36</v>
      </c>
      <c r="Y239" s="39" t="s">
        <v>36</v>
      </c>
      <c r="Z239" s="44" t="s">
        <v>35</v>
      </c>
      <c r="AA239" s="44" t="s">
        <v>35</v>
      </c>
      <c r="AB239" s="44" t="s">
        <v>35</v>
      </c>
      <c r="AC239" s="44" t="s">
        <v>35</v>
      </c>
      <c r="AD239" s="44" t="s">
        <v>54</v>
      </c>
      <c r="AE239" s="39" t="s">
        <v>36</v>
      </c>
      <c r="AF239" s="39" t="s">
        <v>36</v>
      </c>
      <c r="AG239" s="44" t="s">
        <v>35</v>
      </c>
      <c r="AH239" s="44" t="s">
        <v>35</v>
      </c>
      <c r="AI239" s="37">
        <v>19</v>
      </c>
      <c r="AJ239" s="35">
        <f t="shared" ref="AJ239:AJ243" si="233">AI239+AI240</f>
        <v>31</v>
      </c>
      <c r="AK239" s="35">
        <v>0</v>
      </c>
      <c r="AL239" s="35">
        <f t="shared" ref="AL239:AL243" si="234">E240+F240+G240+H240+I240+L240+M240+N240+O240+P240+S240+T240+U240+V240+Z240+AA240+AB240+AC240+AD240+AG240+AH240</f>
        <v>32.5</v>
      </c>
      <c r="AM239" s="36">
        <f t="shared" ref="AM239:AM243" si="235">J240+K240+Q240+R240+X240+Y240+AE240+AF240</f>
        <v>0</v>
      </c>
      <c r="AN239" s="36">
        <f t="shared" ref="AN239:AN243" si="236">W240</f>
        <v>0</v>
      </c>
      <c r="AO239" s="36">
        <f t="shared" ref="AO239:AO243" si="237">21*8</f>
        <v>168</v>
      </c>
      <c r="AP239" s="36">
        <f t="shared" ref="AP239:AP243" si="238">AL239+AM239+AN239+AO239-AQ239-AS239-AT239-AV239-AW239-AX239-AY239-AZ239-AU239</f>
        <v>190.5</v>
      </c>
      <c r="AQ239" s="36">
        <v>10</v>
      </c>
      <c r="AR239" s="36">
        <f>35.5-AQ239</f>
        <v>25.5</v>
      </c>
      <c r="AS239" s="36">
        <v>0</v>
      </c>
      <c r="AT239" s="36">
        <v>0</v>
      </c>
      <c r="AU239" s="36">
        <v>0</v>
      </c>
      <c r="AV239" s="36">
        <v>0</v>
      </c>
      <c r="AW239" s="36">
        <v>0</v>
      </c>
      <c r="AX239" s="36">
        <v>0</v>
      </c>
      <c r="AY239" s="36">
        <v>0</v>
      </c>
      <c r="AZ239" s="36">
        <v>0</v>
      </c>
    </row>
    <row r="240" s="24" customFormat="1" ht="21" customHeight="1" spans="1:52">
      <c r="A240" s="42"/>
      <c r="B240" s="43"/>
      <c r="C240" s="42"/>
      <c r="D240" s="37" t="s">
        <v>37</v>
      </c>
      <c r="E240" s="38">
        <v>3</v>
      </c>
      <c r="F240" s="38">
        <v>2.5</v>
      </c>
      <c r="G240" s="38"/>
      <c r="H240" s="38">
        <v>2</v>
      </c>
      <c r="I240" s="38"/>
      <c r="J240" s="39"/>
      <c r="K240" s="39"/>
      <c r="L240" s="38">
        <v>2.5</v>
      </c>
      <c r="M240" s="38">
        <v>2.5</v>
      </c>
      <c r="N240" s="38">
        <v>2.5</v>
      </c>
      <c r="O240" s="38">
        <v>1.5</v>
      </c>
      <c r="P240" s="38"/>
      <c r="Q240" s="39"/>
      <c r="R240" s="39"/>
      <c r="S240" s="38"/>
      <c r="T240" s="38">
        <v>2.5</v>
      </c>
      <c r="U240" s="38">
        <v>2</v>
      </c>
      <c r="V240" s="44">
        <v>1.5</v>
      </c>
      <c r="W240" s="40"/>
      <c r="X240" s="39"/>
      <c r="Y240" s="39"/>
      <c r="Z240" s="38">
        <v>5.5</v>
      </c>
      <c r="AA240" s="38">
        <v>1</v>
      </c>
      <c r="AB240" s="44">
        <v>1.5</v>
      </c>
      <c r="AC240" s="38"/>
      <c r="AD240" s="38"/>
      <c r="AE240" s="39"/>
      <c r="AF240" s="39"/>
      <c r="AG240" s="38"/>
      <c r="AH240" s="38">
        <v>2</v>
      </c>
      <c r="AI240" s="37">
        <v>12</v>
      </c>
      <c r="AJ240" s="43"/>
      <c r="AK240" s="43"/>
      <c r="AL240" s="43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</row>
    <row r="241" s="24" customFormat="1" ht="21" customHeight="1" spans="1:52">
      <c r="A241" s="36">
        <v>119</v>
      </c>
      <c r="B241" s="35" t="s">
        <v>32</v>
      </c>
      <c r="C241" s="36" t="s">
        <v>201</v>
      </c>
      <c r="D241" s="37" t="s">
        <v>34</v>
      </c>
      <c r="E241" s="44" t="s">
        <v>39</v>
      </c>
      <c r="F241" s="44" t="s">
        <v>39</v>
      </c>
      <c r="G241" s="44" t="s">
        <v>39</v>
      </c>
      <c r="H241" s="44" t="s">
        <v>39</v>
      </c>
      <c r="I241" s="44" t="s">
        <v>39</v>
      </c>
      <c r="J241" s="39" t="s">
        <v>39</v>
      </c>
      <c r="K241" s="39" t="s">
        <v>39</v>
      </c>
      <c r="L241" s="44" t="s">
        <v>39</v>
      </c>
      <c r="M241" s="44" t="s">
        <v>39</v>
      </c>
      <c r="N241" s="44" t="s">
        <v>39</v>
      </c>
      <c r="O241" s="44" t="s">
        <v>39</v>
      </c>
      <c r="P241" s="44" t="s">
        <v>39</v>
      </c>
      <c r="Q241" s="39" t="s">
        <v>39</v>
      </c>
      <c r="R241" s="39" t="s">
        <v>39</v>
      </c>
      <c r="S241" s="44" t="s">
        <v>39</v>
      </c>
      <c r="T241" s="44" t="s">
        <v>39</v>
      </c>
      <c r="U241" s="44" t="s">
        <v>39</v>
      </c>
      <c r="V241" s="44" t="s">
        <v>202</v>
      </c>
      <c r="W241" s="40" t="s">
        <v>39</v>
      </c>
      <c r="X241" s="39" t="s">
        <v>39</v>
      </c>
      <c r="Y241" s="39" t="s">
        <v>39</v>
      </c>
      <c r="Z241" s="44" t="s">
        <v>39</v>
      </c>
      <c r="AA241" s="44" t="s">
        <v>39</v>
      </c>
      <c r="AB241" s="44" t="s">
        <v>39</v>
      </c>
      <c r="AC241" s="44" t="s">
        <v>39</v>
      </c>
      <c r="AD241" s="44" t="s">
        <v>39</v>
      </c>
      <c r="AE241" s="39" t="s">
        <v>39</v>
      </c>
      <c r="AF241" s="39" t="s">
        <v>39</v>
      </c>
      <c r="AG241" s="44" t="s">
        <v>39</v>
      </c>
      <c r="AH241" s="44" t="s">
        <v>39</v>
      </c>
      <c r="AI241" s="37">
        <v>0</v>
      </c>
      <c r="AJ241" s="35">
        <f t="shared" si="233"/>
        <v>0</v>
      </c>
      <c r="AK241" s="35">
        <v>30</v>
      </c>
      <c r="AL241" s="35">
        <f t="shared" si="234"/>
        <v>13</v>
      </c>
      <c r="AM241" s="36">
        <f t="shared" si="235"/>
        <v>24.5</v>
      </c>
      <c r="AN241" s="36">
        <f t="shared" si="236"/>
        <v>0</v>
      </c>
      <c r="AO241" s="36">
        <f t="shared" si="237"/>
        <v>168</v>
      </c>
      <c r="AP241" s="36">
        <f t="shared" si="238"/>
        <v>197.5</v>
      </c>
      <c r="AQ241" s="36">
        <v>8</v>
      </c>
      <c r="AR241" s="36">
        <f>22-AQ241</f>
        <v>14</v>
      </c>
      <c r="AS241" s="36">
        <v>0</v>
      </c>
      <c r="AT241" s="36">
        <v>0</v>
      </c>
      <c r="AU241" s="36">
        <v>0</v>
      </c>
      <c r="AV241" s="36">
        <v>0</v>
      </c>
      <c r="AW241" s="36">
        <v>0</v>
      </c>
      <c r="AX241" s="36">
        <v>0</v>
      </c>
      <c r="AY241" s="36">
        <v>0</v>
      </c>
      <c r="AZ241" s="36">
        <v>0</v>
      </c>
    </row>
    <row r="242" s="24" customFormat="1" ht="21" customHeight="1" spans="1:52">
      <c r="A242" s="42"/>
      <c r="B242" s="43"/>
      <c r="C242" s="42"/>
      <c r="D242" s="37" t="s">
        <v>37</v>
      </c>
      <c r="E242" s="38">
        <v>1</v>
      </c>
      <c r="F242" s="38"/>
      <c r="G242" s="38">
        <v>1</v>
      </c>
      <c r="H242" s="38">
        <v>1</v>
      </c>
      <c r="I242" s="38"/>
      <c r="J242" s="39">
        <v>8</v>
      </c>
      <c r="K242" s="39">
        <v>4.5</v>
      </c>
      <c r="L242" s="38"/>
      <c r="M242" s="38">
        <v>1.5</v>
      </c>
      <c r="N242" s="38"/>
      <c r="O242" s="38"/>
      <c r="P242" s="38">
        <v>1.5</v>
      </c>
      <c r="Q242" s="39">
        <v>4</v>
      </c>
      <c r="R242" s="39"/>
      <c r="S242" s="38"/>
      <c r="T242" s="38"/>
      <c r="U242" s="38"/>
      <c r="V242" s="38"/>
      <c r="W242" s="40"/>
      <c r="X242" s="39"/>
      <c r="Y242" s="39"/>
      <c r="Z242" s="38">
        <v>1.5</v>
      </c>
      <c r="AA242" s="38"/>
      <c r="AB242" s="38">
        <v>3</v>
      </c>
      <c r="AC242" s="38">
        <v>1</v>
      </c>
      <c r="AD242" s="38"/>
      <c r="AE242" s="39">
        <v>8</v>
      </c>
      <c r="AF242" s="39"/>
      <c r="AG242" s="38">
        <v>1.5</v>
      </c>
      <c r="AH242" s="38"/>
      <c r="AI242" s="37">
        <v>0</v>
      </c>
      <c r="AJ242" s="43"/>
      <c r="AK242" s="43"/>
      <c r="AL242" s="43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</row>
    <row r="243" s="24" customFormat="1" ht="21" customHeight="1" spans="1:52">
      <c r="A243" s="36">
        <v>120</v>
      </c>
      <c r="B243" s="35" t="s">
        <v>32</v>
      </c>
      <c r="C243" s="36" t="s">
        <v>203</v>
      </c>
      <c r="D243" s="37" t="s">
        <v>34</v>
      </c>
      <c r="E243" s="44" t="s">
        <v>35</v>
      </c>
      <c r="F243" s="44" t="s">
        <v>35</v>
      </c>
      <c r="G243" s="44" t="s">
        <v>35</v>
      </c>
      <c r="H243" s="44" t="s">
        <v>39</v>
      </c>
      <c r="I243" s="44" t="s">
        <v>39</v>
      </c>
      <c r="J243" s="39" t="s">
        <v>39</v>
      </c>
      <c r="K243" s="39" t="s">
        <v>39</v>
      </c>
      <c r="L243" s="44" t="s">
        <v>39</v>
      </c>
      <c r="M243" s="44" t="s">
        <v>39</v>
      </c>
      <c r="N243" s="44" t="s">
        <v>39</v>
      </c>
      <c r="O243" s="44" t="s">
        <v>39</v>
      </c>
      <c r="P243" s="44" t="s">
        <v>39</v>
      </c>
      <c r="Q243" s="39" t="s">
        <v>39</v>
      </c>
      <c r="R243" s="39" t="s">
        <v>39</v>
      </c>
      <c r="S243" s="44" t="s">
        <v>39</v>
      </c>
      <c r="T243" s="44" t="s">
        <v>39</v>
      </c>
      <c r="U243" s="44" t="s">
        <v>39</v>
      </c>
      <c r="V243" s="44" t="s">
        <v>39</v>
      </c>
      <c r="W243" s="40" t="s">
        <v>39</v>
      </c>
      <c r="X243" s="39" t="s">
        <v>39</v>
      </c>
      <c r="Y243" s="39" t="s">
        <v>39</v>
      </c>
      <c r="Z243" s="44" t="s">
        <v>39</v>
      </c>
      <c r="AA243" s="44" t="s">
        <v>39</v>
      </c>
      <c r="AB243" s="44" t="s">
        <v>39</v>
      </c>
      <c r="AC243" s="44" t="s">
        <v>39</v>
      </c>
      <c r="AD243" s="44" t="s">
        <v>39</v>
      </c>
      <c r="AE243" s="39" t="s">
        <v>39</v>
      </c>
      <c r="AF243" s="39" t="s">
        <v>39</v>
      </c>
      <c r="AG243" s="44" t="s">
        <v>39</v>
      </c>
      <c r="AH243" s="44" t="s">
        <v>39</v>
      </c>
      <c r="AI243" s="37">
        <v>3</v>
      </c>
      <c r="AJ243" s="35">
        <f t="shared" si="233"/>
        <v>3</v>
      </c>
      <c r="AK243" s="35">
        <v>27</v>
      </c>
      <c r="AL243" s="35">
        <f t="shared" si="234"/>
        <v>19</v>
      </c>
      <c r="AM243" s="36">
        <f t="shared" si="235"/>
        <v>52.5</v>
      </c>
      <c r="AN243" s="36">
        <f t="shared" si="236"/>
        <v>9.5</v>
      </c>
      <c r="AO243" s="36">
        <f t="shared" si="237"/>
        <v>168</v>
      </c>
      <c r="AP243" s="36">
        <f t="shared" si="238"/>
        <v>249</v>
      </c>
      <c r="AQ243" s="36">
        <v>0</v>
      </c>
      <c r="AR243" s="36">
        <v>1</v>
      </c>
      <c r="AS243" s="36">
        <v>0</v>
      </c>
      <c r="AT243" s="36">
        <v>0</v>
      </c>
      <c r="AU243" s="36">
        <v>0</v>
      </c>
      <c r="AV243" s="36">
        <v>0</v>
      </c>
      <c r="AW243" s="36">
        <v>0</v>
      </c>
      <c r="AX243" s="36">
        <v>0</v>
      </c>
      <c r="AY243" s="36">
        <v>0</v>
      </c>
      <c r="AZ243" s="36">
        <v>0</v>
      </c>
    </row>
    <row r="244" s="24" customFormat="1" ht="21" customHeight="1" spans="1:52">
      <c r="A244" s="42"/>
      <c r="B244" s="43"/>
      <c r="C244" s="42"/>
      <c r="D244" s="37" t="s">
        <v>37</v>
      </c>
      <c r="E244" s="38"/>
      <c r="F244" s="38"/>
      <c r="G244" s="38"/>
      <c r="H244" s="38"/>
      <c r="I244" s="38"/>
      <c r="J244" s="39">
        <v>8</v>
      </c>
      <c r="K244" s="39">
        <v>8</v>
      </c>
      <c r="L244" s="38">
        <v>3</v>
      </c>
      <c r="M244" s="38"/>
      <c r="N244" s="38"/>
      <c r="O244" s="38"/>
      <c r="P244" s="38"/>
      <c r="Q244" s="39">
        <v>9.5</v>
      </c>
      <c r="R244" s="39"/>
      <c r="S244" s="38"/>
      <c r="T244" s="38">
        <v>3</v>
      </c>
      <c r="U244" s="38">
        <v>1.5</v>
      </c>
      <c r="V244" s="38">
        <v>1</v>
      </c>
      <c r="W244" s="40">
        <v>9.5</v>
      </c>
      <c r="X244" s="39">
        <v>9.5</v>
      </c>
      <c r="Y244" s="39">
        <v>9.5</v>
      </c>
      <c r="Z244" s="38">
        <v>1.5</v>
      </c>
      <c r="AA244" s="38">
        <v>1.5</v>
      </c>
      <c r="AB244" s="38"/>
      <c r="AC244" s="38">
        <v>1</v>
      </c>
      <c r="AD244" s="38">
        <v>1.5</v>
      </c>
      <c r="AE244" s="39">
        <v>8</v>
      </c>
      <c r="AF244" s="39"/>
      <c r="AG244" s="38">
        <v>2.5</v>
      </c>
      <c r="AH244" s="38">
        <v>2.5</v>
      </c>
      <c r="AI244" s="37">
        <v>0</v>
      </c>
      <c r="AJ244" s="43"/>
      <c r="AK244" s="43"/>
      <c r="AL244" s="43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</row>
    <row r="245" s="24" customFormat="1" ht="21" customHeight="1" spans="1:52">
      <c r="A245" s="36">
        <v>121</v>
      </c>
      <c r="B245" s="35" t="s">
        <v>32</v>
      </c>
      <c r="C245" s="36" t="s">
        <v>204</v>
      </c>
      <c r="D245" s="37" t="s">
        <v>34</v>
      </c>
      <c r="E245" s="44" t="s">
        <v>39</v>
      </c>
      <c r="F245" s="44" t="s">
        <v>39</v>
      </c>
      <c r="G245" s="44" t="s">
        <v>39</v>
      </c>
      <c r="H245" s="44" t="s">
        <v>39</v>
      </c>
      <c r="I245" s="44" t="s">
        <v>39</v>
      </c>
      <c r="J245" s="39" t="s">
        <v>39</v>
      </c>
      <c r="K245" s="39" t="s">
        <v>39</v>
      </c>
      <c r="L245" s="44" t="s">
        <v>39</v>
      </c>
      <c r="M245" s="44" t="s">
        <v>39</v>
      </c>
      <c r="N245" s="44" t="s">
        <v>39</v>
      </c>
      <c r="O245" s="44" t="s">
        <v>39</v>
      </c>
      <c r="P245" s="44" t="s">
        <v>39</v>
      </c>
      <c r="Q245" s="39" t="s">
        <v>39</v>
      </c>
      <c r="R245" s="39" t="s">
        <v>39</v>
      </c>
      <c r="S245" s="44" t="s">
        <v>39</v>
      </c>
      <c r="T245" s="44" t="s">
        <v>39</v>
      </c>
      <c r="U245" s="44" t="s">
        <v>39</v>
      </c>
      <c r="V245" s="44" t="s">
        <v>39</v>
      </c>
      <c r="W245" s="40" t="s">
        <v>39</v>
      </c>
      <c r="X245" s="39" t="s">
        <v>39</v>
      </c>
      <c r="Y245" s="39" t="s">
        <v>39</v>
      </c>
      <c r="Z245" s="44" t="s">
        <v>39</v>
      </c>
      <c r="AA245" s="44" t="s">
        <v>39</v>
      </c>
      <c r="AB245" s="44" t="s">
        <v>39</v>
      </c>
      <c r="AC245" s="44" t="s">
        <v>39</v>
      </c>
      <c r="AD245" s="44" t="s">
        <v>39</v>
      </c>
      <c r="AE245" s="39" t="s">
        <v>36</v>
      </c>
      <c r="AF245" s="39" t="s">
        <v>36</v>
      </c>
      <c r="AG245" s="44" t="s">
        <v>50</v>
      </c>
      <c r="AH245" s="44" t="s">
        <v>50</v>
      </c>
      <c r="AI245" s="37">
        <v>0</v>
      </c>
      <c r="AJ245" s="35">
        <f t="shared" ref="AJ245:AJ249" si="239">AI245+AI246</f>
        <v>0</v>
      </c>
      <c r="AK245" s="35">
        <v>26</v>
      </c>
      <c r="AL245" s="35">
        <f t="shared" ref="AL245:AL249" si="240">E246+F246+G246+H246+I246+L246+M246+N246+O246+P246+S246+T246+U246+V246+Z246+AA246+AB246+AC246+AD246+AG246+AH246</f>
        <v>22.5</v>
      </c>
      <c r="AM245" s="36">
        <f t="shared" ref="AM245:AM249" si="241">J246+K246+Q246+R246+X246+Y246+AE246+AF246</f>
        <v>24</v>
      </c>
      <c r="AN245" s="36">
        <f t="shared" ref="AN245:AN249" si="242">W246</f>
        <v>7.5</v>
      </c>
      <c r="AO245" s="36">
        <f t="shared" ref="AO245:AO249" si="243">21*8</f>
        <v>168</v>
      </c>
      <c r="AP245" s="36">
        <f t="shared" ref="AP245:AP249" si="244">AL245+AM245+AN245+AO245-AQ245-AS245-AT245-AV245-AW245-AX245-AY245-AZ245-AU245</f>
        <v>206</v>
      </c>
      <c r="AQ245" s="36">
        <v>0</v>
      </c>
      <c r="AR245" s="36">
        <v>0</v>
      </c>
      <c r="AS245" s="36">
        <v>0</v>
      </c>
      <c r="AT245" s="36">
        <v>16</v>
      </c>
      <c r="AU245" s="36">
        <v>0</v>
      </c>
      <c r="AV245" s="36">
        <v>0</v>
      </c>
      <c r="AW245" s="36">
        <v>0</v>
      </c>
      <c r="AX245" s="36">
        <v>0</v>
      </c>
      <c r="AY245" s="36">
        <v>0</v>
      </c>
      <c r="AZ245" s="36">
        <v>0</v>
      </c>
    </row>
    <row r="246" s="24" customFormat="1" ht="21" customHeight="1" spans="1:52">
      <c r="A246" s="42"/>
      <c r="B246" s="43"/>
      <c r="C246" s="42"/>
      <c r="D246" s="37" t="s">
        <v>37</v>
      </c>
      <c r="E246" s="44">
        <v>1.5</v>
      </c>
      <c r="F246" s="38">
        <v>1.5</v>
      </c>
      <c r="G246" s="38">
        <v>1.5</v>
      </c>
      <c r="H246" s="38">
        <v>1.5</v>
      </c>
      <c r="I246" s="38"/>
      <c r="J246" s="39">
        <v>8</v>
      </c>
      <c r="K246" s="39"/>
      <c r="L246" s="38">
        <v>1.5</v>
      </c>
      <c r="M246" s="38">
        <v>1.5</v>
      </c>
      <c r="N246" s="38">
        <v>1.5</v>
      </c>
      <c r="O246" s="38">
        <v>1.5</v>
      </c>
      <c r="P246" s="38"/>
      <c r="Q246" s="39">
        <v>8</v>
      </c>
      <c r="R246" s="39">
        <v>8</v>
      </c>
      <c r="S246" s="38">
        <v>1.5</v>
      </c>
      <c r="T246" s="38">
        <v>1.5</v>
      </c>
      <c r="U246" s="38">
        <v>1.5</v>
      </c>
      <c r="V246" s="38"/>
      <c r="W246" s="40">
        <v>7.5</v>
      </c>
      <c r="X246" s="39"/>
      <c r="Y246" s="39"/>
      <c r="Z246" s="38"/>
      <c r="AA246" s="38">
        <v>1.5</v>
      </c>
      <c r="AB246" s="38">
        <v>3</v>
      </c>
      <c r="AC246" s="38"/>
      <c r="AD246" s="38">
        <v>1.5</v>
      </c>
      <c r="AE246" s="39"/>
      <c r="AF246" s="39"/>
      <c r="AG246" s="38"/>
      <c r="AH246" s="38"/>
      <c r="AI246" s="37">
        <v>0</v>
      </c>
      <c r="AJ246" s="43"/>
      <c r="AK246" s="43"/>
      <c r="AL246" s="43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</row>
    <row r="247" s="24" customFormat="1" ht="21" customHeight="1" spans="1:52">
      <c r="A247" s="36">
        <v>122</v>
      </c>
      <c r="B247" s="35" t="s">
        <v>32</v>
      </c>
      <c r="C247" s="36" t="s">
        <v>205</v>
      </c>
      <c r="D247" s="37" t="s">
        <v>34</v>
      </c>
      <c r="E247" s="44" t="s">
        <v>35</v>
      </c>
      <c r="F247" s="44" t="s">
        <v>35</v>
      </c>
      <c r="G247" s="44" t="s">
        <v>35</v>
      </c>
      <c r="H247" s="44" t="s">
        <v>35</v>
      </c>
      <c r="I247" s="44" t="s">
        <v>35</v>
      </c>
      <c r="J247" s="39" t="s">
        <v>35</v>
      </c>
      <c r="K247" s="39" t="s">
        <v>36</v>
      </c>
      <c r="L247" s="44" t="s">
        <v>35</v>
      </c>
      <c r="M247" s="44" t="s">
        <v>35</v>
      </c>
      <c r="N247" s="44" t="s">
        <v>35</v>
      </c>
      <c r="O247" s="44" t="s">
        <v>35</v>
      </c>
      <c r="P247" s="44" t="s">
        <v>35</v>
      </c>
      <c r="Q247" s="39" t="s">
        <v>35</v>
      </c>
      <c r="R247" s="39" t="s">
        <v>36</v>
      </c>
      <c r="S247" s="44" t="s">
        <v>35</v>
      </c>
      <c r="T247" s="44" t="s">
        <v>35</v>
      </c>
      <c r="U247" s="44" t="s">
        <v>35</v>
      </c>
      <c r="V247" s="44" t="s">
        <v>35</v>
      </c>
      <c r="W247" s="40" t="s">
        <v>36</v>
      </c>
      <c r="X247" s="39" t="s">
        <v>36</v>
      </c>
      <c r="Y247" s="39" t="s">
        <v>35</v>
      </c>
      <c r="Z247" s="44" t="s">
        <v>35</v>
      </c>
      <c r="AA247" s="44" t="s">
        <v>35</v>
      </c>
      <c r="AB247" s="44" t="s">
        <v>35</v>
      </c>
      <c r="AC247" s="44" t="s">
        <v>35</v>
      </c>
      <c r="AD247" s="44" t="s">
        <v>35</v>
      </c>
      <c r="AE247" s="39" t="s">
        <v>35</v>
      </c>
      <c r="AF247" s="39" t="s">
        <v>36</v>
      </c>
      <c r="AG247" s="44" t="s">
        <v>35</v>
      </c>
      <c r="AH247" s="44" t="s">
        <v>35</v>
      </c>
      <c r="AI247" s="37">
        <v>0</v>
      </c>
      <c r="AJ247" s="35">
        <f t="shared" si="239"/>
        <v>0</v>
      </c>
      <c r="AK247" s="35">
        <v>0</v>
      </c>
      <c r="AL247" s="35">
        <f t="shared" si="240"/>
        <v>0</v>
      </c>
      <c r="AM247" s="36">
        <f t="shared" si="241"/>
        <v>0</v>
      </c>
      <c r="AN247" s="36">
        <f t="shared" si="242"/>
        <v>0</v>
      </c>
      <c r="AO247" s="36">
        <f t="shared" si="243"/>
        <v>168</v>
      </c>
      <c r="AP247" s="36">
        <f t="shared" si="244"/>
        <v>168</v>
      </c>
      <c r="AQ247" s="36">
        <v>0</v>
      </c>
      <c r="AR247" s="36">
        <v>0</v>
      </c>
      <c r="AS247" s="36">
        <v>0</v>
      </c>
      <c r="AT247" s="36">
        <v>0</v>
      </c>
      <c r="AU247" s="36">
        <v>0</v>
      </c>
      <c r="AV247" s="36">
        <v>0</v>
      </c>
      <c r="AW247" s="36">
        <v>0</v>
      </c>
      <c r="AX247" s="36">
        <v>0</v>
      </c>
      <c r="AY247" s="36">
        <v>0</v>
      </c>
      <c r="AZ247" s="36">
        <v>0</v>
      </c>
    </row>
    <row r="248" s="24" customFormat="1" ht="21" customHeight="1" spans="1:52">
      <c r="A248" s="42"/>
      <c r="B248" s="43"/>
      <c r="C248" s="42"/>
      <c r="D248" s="37" t="s">
        <v>37</v>
      </c>
      <c r="E248" s="38"/>
      <c r="F248" s="38"/>
      <c r="G248" s="38"/>
      <c r="H248" s="38"/>
      <c r="I248" s="38"/>
      <c r="J248" s="39"/>
      <c r="K248" s="39"/>
      <c r="L248" s="38"/>
      <c r="M248" s="38"/>
      <c r="N248" s="38"/>
      <c r="O248" s="38"/>
      <c r="P248" s="38"/>
      <c r="Q248" s="39"/>
      <c r="R248" s="39"/>
      <c r="S248" s="38"/>
      <c r="T248" s="38"/>
      <c r="U248" s="38"/>
      <c r="V248" s="38"/>
      <c r="W248" s="40"/>
      <c r="X248" s="39"/>
      <c r="Y248" s="39"/>
      <c r="Z248" s="38"/>
      <c r="AA248" s="38"/>
      <c r="AB248" s="38"/>
      <c r="AC248" s="38"/>
      <c r="AD248" s="38"/>
      <c r="AE248" s="39"/>
      <c r="AF248" s="39"/>
      <c r="AG248" s="38"/>
      <c r="AH248" s="38"/>
      <c r="AI248" s="37">
        <v>0</v>
      </c>
      <c r="AJ248" s="43"/>
      <c r="AK248" s="43"/>
      <c r="AL248" s="43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</row>
    <row r="249" s="24" customFormat="1" ht="21" customHeight="1" spans="1:52">
      <c r="A249" s="36">
        <v>123</v>
      </c>
      <c r="B249" s="35" t="s">
        <v>40</v>
      </c>
      <c r="C249" s="36" t="s">
        <v>206</v>
      </c>
      <c r="D249" s="37" t="s">
        <v>34</v>
      </c>
      <c r="E249" s="44" t="s">
        <v>35</v>
      </c>
      <c r="F249" s="44" t="s">
        <v>35</v>
      </c>
      <c r="G249" s="44" t="s">
        <v>35</v>
      </c>
      <c r="H249" s="44" t="s">
        <v>39</v>
      </c>
      <c r="I249" s="44" t="s">
        <v>39</v>
      </c>
      <c r="J249" s="39"/>
      <c r="K249" s="39" t="s">
        <v>36</v>
      </c>
      <c r="L249" s="44" t="s">
        <v>54</v>
      </c>
      <c r="M249" s="44" t="s">
        <v>73</v>
      </c>
      <c r="N249" s="44" t="s">
        <v>35</v>
      </c>
      <c r="O249" s="44" t="s">
        <v>35</v>
      </c>
      <c r="P249" s="44" t="s">
        <v>35</v>
      </c>
      <c r="Q249" s="39"/>
      <c r="R249" s="39" t="s">
        <v>36</v>
      </c>
      <c r="S249" s="44" t="s">
        <v>35</v>
      </c>
      <c r="T249" s="44" t="s">
        <v>35</v>
      </c>
      <c r="U249" s="44" t="s">
        <v>35</v>
      </c>
      <c r="V249" s="44" t="s">
        <v>35</v>
      </c>
      <c r="W249" s="40" t="s">
        <v>36</v>
      </c>
      <c r="X249" s="39" t="s">
        <v>36</v>
      </c>
      <c r="Y249" s="39" t="s">
        <v>36</v>
      </c>
      <c r="Z249" s="44" t="s">
        <v>35</v>
      </c>
      <c r="AA249" s="44" t="s">
        <v>35</v>
      </c>
      <c r="AB249" s="44" t="s">
        <v>35</v>
      </c>
      <c r="AC249" s="44" t="s">
        <v>35</v>
      </c>
      <c r="AD249" s="44" t="s">
        <v>35</v>
      </c>
      <c r="AE249" s="39"/>
      <c r="AF249" s="39" t="s">
        <v>36</v>
      </c>
      <c r="AG249" s="44" t="s">
        <v>35</v>
      </c>
      <c r="AH249" s="44" t="s">
        <v>35</v>
      </c>
      <c r="AI249" s="37">
        <v>17</v>
      </c>
      <c r="AJ249" s="35">
        <f t="shared" si="239"/>
        <v>22</v>
      </c>
      <c r="AK249" s="35">
        <v>2</v>
      </c>
      <c r="AL249" s="35">
        <f t="shared" si="240"/>
        <v>6</v>
      </c>
      <c r="AM249" s="36">
        <f t="shared" si="241"/>
        <v>16</v>
      </c>
      <c r="AN249" s="36">
        <f t="shared" si="242"/>
        <v>0</v>
      </c>
      <c r="AO249" s="36">
        <f t="shared" si="243"/>
        <v>168</v>
      </c>
      <c r="AP249" s="36">
        <f t="shared" si="244"/>
        <v>178.5</v>
      </c>
      <c r="AQ249" s="36">
        <v>11.5</v>
      </c>
      <c r="AR249" s="36">
        <f>58-AQ249</f>
        <v>46.5</v>
      </c>
      <c r="AS249" s="36">
        <v>0</v>
      </c>
      <c r="AT249" s="36">
        <v>0</v>
      </c>
      <c r="AU249" s="36">
        <v>0</v>
      </c>
      <c r="AV249" s="36">
        <v>0</v>
      </c>
      <c r="AW249" s="36">
        <v>0</v>
      </c>
      <c r="AX249" s="36">
        <v>0</v>
      </c>
      <c r="AY249" s="36">
        <v>0</v>
      </c>
      <c r="AZ249" s="36">
        <v>0</v>
      </c>
    </row>
    <row r="250" s="24" customFormat="1" ht="21" customHeight="1" spans="1:52">
      <c r="A250" s="42"/>
      <c r="B250" s="43"/>
      <c r="C250" s="42"/>
      <c r="D250" s="37" t="s">
        <v>37</v>
      </c>
      <c r="E250" s="38"/>
      <c r="F250" s="38">
        <v>2</v>
      </c>
      <c r="G250" s="38"/>
      <c r="H250" s="38"/>
      <c r="I250" s="38"/>
      <c r="J250" s="39">
        <v>3.5</v>
      </c>
      <c r="K250" s="39"/>
      <c r="L250" s="38"/>
      <c r="M250" s="38"/>
      <c r="N250" s="38"/>
      <c r="O250" s="44">
        <v>1.5</v>
      </c>
      <c r="P250" s="38"/>
      <c r="Q250" s="39">
        <v>6</v>
      </c>
      <c r="R250" s="39"/>
      <c r="S250" s="38"/>
      <c r="T250" s="38"/>
      <c r="U250" s="38"/>
      <c r="V250" s="38"/>
      <c r="W250" s="40"/>
      <c r="X250" s="39"/>
      <c r="Y250" s="39"/>
      <c r="Z250" s="38"/>
      <c r="AA250" s="38">
        <v>2.5</v>
      </c>
      <c r="AB250" s="38"/>
      <c r="AC250" s="38"/>
      <c r="AD250" s="38"/>
      <c r="AE250" s="39">
        <v>6.5</v>
      </c>
      <c r="AF250" s="39"/>
      <c r="AG250" s="38"/>
      <c r="AH250" s="38"/>
      <c r="AI250" s="37">
        <v>5</v>
      </c>
      <c r="AJ250" s="43"/>
      <c r="AK250" s="43"/>
      <c r="AL250" s="43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</row>
    <row r="251" s="24" customFormat="1" ht="24" customHeight="1" spans="1:52">
      <c r="A251" s="36">
        <v>124</v>
      </c>
      <c r="B251" s="35" t="s">
        <v>32</v>
      </c>
      <c r="C251" s="36" t="s">
        <v>207</v>
      </c>
      <c r="D251" s="37" t="s">
        <v>34</v>
      </c>
      <c r="E251" s="44" t="s">
        <v>35</v>
      </c>
      <c r="F251" s="44" t="s">
        <v>35</v>
      </c>
      <c r="G251" s="44" t="s">
        <v>35</v>
      </c>
      <c r="H251" s="44" t="s">
        <v>35</v>
      </c>
      <c r="I251" s="44" t="s">
        <v>35</v>
      </c>
      <c r="J251" s="39"/>
      <c r="K251" s="39"/>
      <c r="L251" s="44" t="s">
        <v>35</v>
      </c>
      <c r="M251" s="44" t="s">
        <v>35</v>
      </c>
      <c r="N251" s="44" t="s">
        <v>35</v>
      </c>
      <c r="O251" s="44" t="s">
        <v>35</v>
      </c>
      <c r="P251" s="44" t="s">
        <v>107</v>
      </c>
      <c r="Q251" s="39"/>
      <c r="R251" s="39"/>
      <c r="S251" s="44" t="s">
        <v>35</v>
      </c>
      <c r="T251" s="44" t="s">
        <v>35</v>
      </c>
      <c r="U251" s="44" t="s">
        <v>35</v>
      </c>
      <c r="V251" s="44" t="s">
        <v>35</v>
      </c>
      <c r="W251" s="40" t="s">
        <v>36</v>
      </c>
      <c r="X251" s="39"/>
      <c r="Y251" s="39"/>
      <c r="Z251" s="44" t="s">
        <v>35</v>
      </c>
      <c r="AA251" s="44" t="s">
        <v>35</v>
      </c>
      <c r="AB251" s="44" t="s">
        <v>35</v>
      </c>
      <c r="AC251" s="44" t="s">
        <v>35</v>
      </c>
      <c r="AD251" s="44" t="s">
        <v>35</v>
      </c>
      <c r="AE251" s="39"/>
      <c r="AF251" s="39"/>
      <c r="AG251" s="44" t="s">
        <v>35</v>
      </c>
      <c r="AH251" s="44" t="s">
        <v>35</v>
      </c>
      <c r="AI251" s="37">
        <v>21</v>
      </c>
      <c r="AJ251" s="35">
        <f t="shared" ref="AJ251:AJ255" si="245">AI251+AI252</f>
        <v>50</v>
      </c>
      <c r="AK251" s="35">
        <v>0</v>
      </c>
      <c r="AL251" s="35">
        <f t="shared" ref="AL251:AL255" si="246">E252+F252+G252+H252+I252+L252+M252+N252+O252+P252+S252+T252+U252+V252+Z252+AA252+AB252+AC252+AD252+AG252+AH252</f>
        <v>44.5</v>
      </c>
      <c r="AM251" s="36">
        <f t="shared" ref="AM251:AM255" si="247">J252+K252+Q252+R252+X252+Y252+AE252+AF252</f>
        <v>81.5</v>
      </c>
      <c r="AN251" s="36">
        <f t="shared" ref="AN251:AN255" si="248">W252</f>
        <v>0</v>
      </c>
      <c r="AO251" s="36">
        <f t="shared" ref="AO251:AO255" si="249">21*8</f>
        <v>168</v>
      </c>
      <c r="AP251" s="36">
        <f t="shared" ref="AP251:AP255" si="250">AL251+AM251+AN251+AO251-AQ251-AS251-AT251-AV251-AW251-AX251-AY251-AZ251-AU251</f>
        <v>289.5</v>
      </c>
      <c r="AQ251" s="36">
        <v>4.5</v>
      </c>
      <c r="AR251" s="36">
        <f>52-AQ251</f>
        <v>47.5</v>
      </c>
      <c r="AS251" s="36">
        <v>0</v>
      </c>
      <c r="AT251" s="36">
        <v>0</v>
      </c>
      <c r="AU251" s="36">
        <v>0</v>
      </c>
      <c r="AV251" s="36">
        <v>0</v>
      </c>
      <c r="AW251" s="36">
        <v>0</v>
      </c>
      <c r="AX251" s="36">
        <v>0</v>
      </c>
      <c r="AY251" s="36">
        <v>0</v>
      </c>
      <c r="AZ251" s="36">
        <v>0</v>
      </c>
    </row>
    <row r="252" s="24" customFormat="1" ht="21" customHeight="1" spans="1:52">
      <c r="A252" s="42"/>
      <c r="B252" s="43"/>
      <c r="C252" s="42"/>
      <c r="D252" s="37" t="s">
        <v>37</v>
      </c>
      <c r="E252" s="38"/>
      <c r="F252" s="38">
        <v>4.5</v>
      </c>
      <c r="G252" s="38">
        <v>2</v>
      </c>
      <c r="H252" s="38">
        <v>3</v>
      </c>
      <c r="I252" s="38">
        <v>2.5</v>
      </c>
      <c r="J252" s="39">
        <v>12.5</v>
      </c>
      <c r="K252" s="39">
        <v>9.5</v>
      </c>
      <c r="L252" s="38">
        <v>4</v>
      </c>
      <c r="M252" s="44">
        <v>1.5</v>
      </c>
      <c r="N252" s="38">
        <v>5.5</v>
      </c>
      <c r="O252" s="38"/>
      <c r="P252" s="38"/>
      <c r="Q252" s="39">
        <v>10</v>
      </c>
      <c r="R252" s="39">
        <v>9.5</v>
      </c>
      <c r="S252" s="38">
        <v>2</v>
      </c>
      <c r="T252" s="44">
        <v>1.5</v>
      </c>
      <c r="U252" s="38">
        <v>5</v>
      </c>
      <c r="V252" s="38"/>
      <c r="W252" s="40"/>
      <c r="X252" s="39">
        <v>2.5</v>
      </c>
      <c r="Y252" s="39">
        <v>11.5</v>
      </c>
      <c r="Z252" s="44">
        <v>1.5</v>
      </c>
      <c r="AA252" s="38">
        <v>2.5</v>
      </c>
      <c r="AB252" s="38">
        <v>4</v>
      </c>
      <c r="AC252" s="38"/>
      <c r="AD252" s="44">
        <v>1.5</v>
      </c>
      <c r="AE252" s="39">
        <v>14.5</v>
      </c>
      <c r="AF252" s="39">
        <v>11.5</v>
      </c>
      <c r="AG252" s="38"/>
      <c r="AH252" s="38">
        <v>3.5</v>
      </c>
      <c r="AI252" s="37">
        <v>29</v>
      </c>
      <c r="AJ252" s="43"/>
      <c r="AK252" s="43"/>
      <c r="AL252" s="43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</row>
    <row r="253" s="24" customFormat="1" ht="21" customHeight="1" spans="1:52">
      <c r="A253" s="36">
        <v>125</v>
      </c>
      <c r="B253" s="35" t="s">
        <v>32</v>
      </c>
      <c r="C253" s="36" t="s">
        <v>208</v>
      </c>
      <c r="D253" s="37" t="s">
        <v>34</v>
      </c>
      <c r="E253" s="44" t="s">
        <v>35</v>
      </c>
      <c r="F253" s="44" t="s">
        <v>35</v>
      </c>
      <c r="G253" s="44" t="s">
        <v>35</v>
      </c>
      <c r="H253" s="44" t="s">
        <v>35</v>
      </c>
      <c r="I253" s="44" t="s">
        <v>35</v>
      </c>
      <c r="J253" s="39"/>
      <c r="K253" s="39"/>
      <c r="L253" s="44" t="s">
        <v>35</v>
      </c>
      <c r="M253" s="44" t="s">
        <v>35</v>
      </c>
      <c r="N253" s="44" t="s">
        <v>35</v>
      </c>
      <c r="O253" s="44" t="s">
        <v>209</v>
      </c>
      <c r="P253" s="44" t="s">
        <v>35</v>
      </c>
      <c r="Q253" s="39"/>
      <c r="R253" s="39" t="s">
        <v>36</v>
      </c>
      <c r="S253" s="44" t="s">
        <v>35</v>
      </c>
      <c r="T253" s="44" t="s">
        <v>35</v>
      </c>
      <c r="U253" s="44" t="s">
        <v>35</v>
      </c>
      <c r="V253" s="44" t="s">
        <v>35</v>
      </c>
      <c r="W253" s="40"/>
      <c r="X253" s="39" t="s">
        <v>36</v>
      </c>
      <c r="Y253" s="39" t="s">
        <v>36</v>
      </c>
      <c r="Z253" s="44" t="s">
        <v>35</v>
      </c>
      <c r="AA253" s="44" t="s">
        <v>35</v>
      </c>
      <c r="AB253" s="44" t="s">
        <v>35</v>
      </c>
      <c r="AC253" s="44" t="s">
        <v>35</v>
      </c>
      <c r="AD253" s="44" t="s">
        <v>35</v>
      </c>
      <c r="AE253" s="39" t="s">
        <v>36</v>
      </c>
      <c r="AF253" s="39"/>
      <c r="AG253" s="44" t="s">
        <v>35</v>
      </c>
      <c r="AH253" s="44" t="s">
        <v>35</v>
      </c>
      <c r="AI253" s="37">
        <v>21</v>
      </c>
      <c r="AJ253" s="35">
        <f t="shared" si="245"/>
        <v>32</v>
      </c>
      <c r="AK253" s="35">
        <v>0</v>
      </c>
      <c r="AL253" s="35">
        <f t="shared" si="246"/>
        <v>23.5</v>
      </c>
      <c r="AM253" s="36">
        <f t="shared" si="247"/>
        <v>20</v>
      </c>
      <c r="AN253" s="36">
        <f t="shared" si="248"/>
        <v>8</v>
      </c>
      <c r="AO253" s="36">
        <f t="shared" si="249"/>
        <v>168</v>
      </c>
      <c r="AP253" s="36">
        <f t="shared" si="250"/>
        <v>215</v>
      </c>
      <c r="AQ253" s="36">
        <v>0</v>
      </c>
      <c r="AR253" s="36">
        <v>0</v>
      </c>
      <c r="AS253" s="36">
        <v>0</v>
      </c>
      <c r="AT253" s="36">
        <v>4.5</v>
      </c>
      <c r="AU253" s="36">
        <v>0</v>
      </c>
      <c r="AV253" s="36">
        <v>0</v>
      </c>
      <c r="AW253" s="36">
        <v>0</v>
      </c>
      <c r="AX253" s="36">
        <v>0</v>
      </c>
      <c r="AY253" s="36">
        <v>0</v>
      </c>
      <c r="AZ253" s="36">
        <v>0</v>
      </c>
    </row>
    <row r="254" s="24" customFormat="1" ht="21" customHeight="1" spans="1:52">
      <c r="A254" s="42"/>
      <c r="B254" s="43"/>
      <c r="C254" s="42"/>
      <c r="D254" s="37" t="s">
        <v>37</v>
      </c>
      <c r="E254" s="38"/>
      <c r="F254" s="38"/>
      <c r="G254" s="38"/>
      <c r="H254" s="38"/>
      <c r="I254" s="38"/>
      <c r="J254" s="39">
        <v>7</v>
      </c>
      <c r="K254" s="39">
        <v>3.5</v>
      </c>
      <c r="L254" s="44">
        <v>1.5</v>
      </c>
      <c r="M254" s="38">
        <v>1</v>
      </c>
      <c r="N254" s="38">
        <v>2.5</v>
      </c>
      <c r="O254" s="38"/>
      <c r="P254" s="38"/>
      <c r="Q254" s="39">
        <v>4.5</v>
      </c>
      <c r="R254" s="39"/>
      <c r="S254" s="38">
        <v>2</v>
      </c>
      <c r="T254" s="38"/>
      <c r="U254" s="38">
        <v>2.5</v>
      </c>
      <c r="V254" s="38"/>
      <c r="W254" s="40">
        <v>8</v>
      </c>
      <c r="X254" s="39"/>
      <c r="Y254" s="39"/>
      <c r="Z254" s="38">
        <v>1</v>
      </c>
      <c r="AA254" s="38">
        <v>2.5</v>
      </c>
      <c r="AB254" s="38"/>
      <c r="AC254" s="38">
        <v>4.5</v>
      </c>
      <c r="AD254" s="38"/>
      <c r="AE254" s="39"/>
      <c r="AF254" s="39">
        <v>5</v>
      </c>
      <c r="AG254" s="38">
        <v>3</v>
      </c>
      <c r="AH254" s="38">
        <v>3</v>
      </c>
      <c r="AI254" s="37">
        <v>11</v>
      </c>
      <c r="AJ254" s="43"/>
      <c r="AK254" s="43"/>
      <c r="AL254" s="43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</row>
    <row r="255" s="24" customFormat="1" ht="21" customHeight="1" spans="1:52">
      <c r="A255" s="36">
        <v>126</v>
      </c>
      <c r="B255" s="35" t="s">
        <v>40</v>
      </c>
      <c r="C255" s="36" t="s">
        <v>210</v>
      </c>
      <c r="D255" s="37" t="s">
        <v>34</v>
      </c>
      <c r="E255" s="44" t="s">
        <v>39</v>
      </c>
      <c r="F255" s="44" t="s">
        <v>39</v>
      </c>
      <c r="G255" s="44" t="s">
        <v>35</v>
      </c>
      <c r="H255" s="44" t="s">
        <v>35</v>
      </c>
      <c r="I255" s="44" t="s">
        <v>47</v>
      </c>
      <c r="J255" s="39"/>
      <c r="K255" s="39"/>
      <c r="L255" s="44" t="s">
        <v>35</v>
      </c>
      <c r="M255" s="44" t="s">
        <v>39</v>
      </c>
      <c r="N255" s="44" t="s">
        <v>39</v>
      </c>
      <c r="O255" s="44" t="s">
        <v>39</v>
      </c>
      <c r="P255" s="44" t="s">
        <v>39</v>
      </c>
      <c r="Q255" s="39" t="s">
        <v>39</v>
      </c>
      <c r="R255" s="39" t="s">
        <v>39</v>
      </c>
      <c r="S255" s="44" t="s">
        <v>39</v>
      </c>
      <c r="T255" s="44" t="s">
        <v>39</v>
      </c>
      <c r="U255" s="44" t="s">
        <v>39</v>
      </c>
      <c r="V255" s="44" t="s">
        <v>39</v>
      </c>
      <c r="W255" s="40" t="s">
        <v>39</v>
      </c>
      <c r="X255" s="39" t="s">
        <v>39</v>
      </c>
      <c r="Y255" s="39" t="s">
        <v>39</v>
      </c>
      <c r="Z255" s="44" t="s">
        <v>39</v>
      </c>
      <c r="AA255" s="44" t="s">
        <v>39</v>
      </c>
      <c r="AB255" s="44" t="s">
        <v>39</v>
      </c>
      <c r="AC255" s="44" t="s">
        <v>39</v>
      </c>
      <c r="AD255" s="44" t="s">
        <v>39</v>
      </c>
      <c r="AE255" s="39" t="s">
        <v>39</v>
      </c>
      <c r="AF255" s="39" t="s">
        <v>39</v>
      </c>
      <c r="AG255" s="44" t="s">
        <v>39</v>
      </c>
      <c r="AH255" s="44" t="s">
        <v>39</v>
      </c>
      <c r="AI255" s="37">
        <v>4</v>
      </c>
      <c r="AJ255" s="35">
        <f t="shared" si="245"/>
        <v>4</v>
      </c>
      <c r="AK255" s="35">
        <v>24</v>
      </c>
      <c r="AL255" s="35">
        <f t="shared" si="246"/>
        <v>2.5</v>
      </c>
      <c r="AM255" s="36">
        <f t="shared" si="247"/>
        <v>8</v>
      </c>
      <c r="AN255" s="36">
        <f t="shared" si="248"/>
        <v>0</v>
      </c>
      <c r="AO255" s="36">
        <f t="shared" si="249"/>
        <v>168</v>
      </c>
      <c r="AP255" s="36">
        <f t="shared" si="250"/>
        <v>177.5</v>
      </c>
      <c r="AQ255" s="36">
        <v>1</v>
      </c>
      <c r="AR255" s="36">
        <f>39-AQ255</f>
        <v>38</v>
      </c>
      <c r="AS255" s="36">
        <v>0</v>
      </c>
      <c r="AT255" s="36">
        <v>0</v>
      </c>
      <c r="AU255" s="36">
        <v>0</v>
      </c>
      <c r="AV255" s="36">
        <v>0</v>
      </c>
      <c r="AW255" s="36">
        <v>0</v>
      </c>
      <c r="AX255" s="36">
        <v>0</v>
      </c>
      <c r="AY255" s="36">
        <v>0</v>
      </c>
      <c r="AZ255" s="36">
        <v>0</v>
      </c>
    </row>
    <row r="256" s="24" customFormat="1" ht="21" customHeight="1" spans="1:52">
      <c r="A256" s="42"/>
      <c r="B256" s="43"/>
      <c r="C256" s="42"/>
      <c r="D256" s="37" t="s">
        <v>37</v>
      </c>
      <c r="E256" s="38"/>
      <c r="F256" s="38"/>
      <c r="G256" s="38"/>
      <c r="H256" s="38"/>
      <c r="I256" s="38"/>
      <c r="J256" s="39">
        <v>3.5</v>
      </c>
      <c r="K256" s="39">
        <v>4.5</v>
      </c>
      <c r="L256" s="38"/>
      <c r="M256" s="38"/>
      <c r="N256" s="38"/>
      <c r="O256" s="38"/>
      <c r="P256" s="38"/>
      <c r="Q256" s="39"/>
      <c r="R256" s="39"/>
      <c r="S256" s="38"/>
      <c r="T256" s="38"/>
      <c r="U256" s="38">
        <v>2.5</v>
      </c>
      <c r="V256" s="38"/>
      <c r="W256" s="40"/>
      <c r="X256" s="39"/>
      <c r="Y256" s="39"/>
      <c r="Z256" s="38"/>
      <c r="AA256" s="38"/>
      <c r="AB256" s="38"/>
      <c r="AC256" s="38"/>
      <c r="AD256" s="38"/>
      <c r="AE256" s="39"/>
      <c r="AF256" s="39"/>
      <c r="AG256" s="38"/>
      <c r="AH256" s="38"/>
      <c r="AI256" s="37">
        <v>0</v>
      </c>
      <c r="AJ256" s="43"/>
      <c r="AK256" s="43"/>
      <c r="AL256" s="43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</row>
    <row r="257" s="24" customFormat="1" ht="21" customHeight="1" spans="1:52">
      <c r="A257" s="36">
        <v>127</v>
      </c>
      <c r="B257" s="35" t="s">
        <v>32</v>
      </c>
      <c r="C257" s="36" t="s">
        <v>211</v>
      </c>
      <c r="D257" s="37" t="s">
        <v>34</v>
      </c>
      <c r="E257" s="44" t="s">
        <v>35</v>
      </c>
      <c r="F257" s="44" t="s">
        <v>35</v>
      </c>
      <c r="G257" s="44" t="s">
        <v>35</v>
      </c>
      <c r="H257" s="44" t="s">
        <v>35</v>
      </c>
      <c r="I257" s="44" t="s">
        <v>35</v>
      </c>
      <c r="J257" s="39"/>
      <c r="K257" s="39" t="s">
        <v>36</v>
      </c>
      <c r="L257" s="44" t="s">
        <v>35</v>
      </c>
      <c r="M257" s="44" t="s">
        <v>35</v>
      </c>
      <c r="N257" s="44" t="s">
        <v>35</v>
      </c>
      <c r="O257" s="44" t="s">
        <v>35</v>
      </c>
      <c r="P257" s="44" t="s">
        <v>35</v>
      </c>
      <c r="Q257" s="39"/>
      <c r="R257" s="39" t="s">
        <v>36</v>
      </c>
      <c r="S257" s="44" t="s">
        <v>35</v>
      </c>
      <c r="T257" s="44" t="s">
        <v>35</v>
      </c>
      <c r="U257" s="44" t="s">
        <v>35</v>
      </c>
      <c r="V257" s="44" t="s">
        <v>35</v>
      </c>
      <c r="W257" s="40" t="s">
        <v>36</v>
      </c>
      <c r="X257" s="39" t="s">
        <v>36</v>
      </c>
      <c r="Y257" s="39" t="s">
        <v>36</v>
      </c>
      <c r="Z257" s="44" t="s">
        <v>35</v>
      </c>
      <c r="AA257" s="44" t="s">
        <v>35</v>
      </c>
      <c r="AB257" s="44" t="s">
        <v>35</v>
      </c>
      <c r="AC257" s="44" t="s">
        <v>35</v>
      </c>
      <c r="AD257" s="44" t="s">
        <v>35</v>
      </c>
      <c r="AE257" s="39" t="s">
        <v>36</v>
      </c>
      <c r="AF257" s="39" t="s">
        <v>36</v>
      </c>
      <c r="AG257" s="44" t="s">
        <v>35</v>
      </c>
      <c r="AH257" s="44" t="s">
        <v>35</v>
      </c>
      <c r="AI257" s="37">
        <v>21</v>
      </c>
      <c r="AJ257" s="35">
        <f t="shared" ref="AJ257:AJ261" si="251">AI257+AI258</f>
        <v>28</v>
      </c>
      <c r="AK257" s="35">
        <v>0</v>
      </c>
      <c r="AL257" s="35">
        <f t="shared" ref="AL257:AL261" si="252">E258+F258+G258+H258+I258+L258+M258+N258+O258+P258+S258+T258+U258+V258+Z258+AA258+AB258+AC258+AD258+AG258+AH258</f>
        <v>10</v>
      </c>
      <c r="AM257" s="36">
        <f t="shared" ref="AM257:AM261" si="253">J258+K258+Q258+R258+X258+Y258+AE258+AF258</f>
        <v>13</v>
      </c>
      <c r="AN257" s="36">
        <f t="shared" ref="AN257:AN261" si="254">W258</f>
        <v>0</v>
      </c>
      <c r="AO257" s="36">
        <f t="shared" ref="AO257:AO261" si="255">21*8</f>
        <v>168</v>
      </c>
      <c r="AP257" s="36">
        <f t="shared" ref="AP257:AP261" si="256">AL257+AM257+AN257+AO257-AQ257-AS257-AT257-AV257-AW257-AX257-AY257-AZ257-AU257</f>
        <v>191</v>
      </c>
      <c r="AQ257" s="36">
        <v>0</v>
      </c>
      <c r="AR257" s="36">
        <v>33</v>
      </c>
      <c r="AS257" s="36">
        <v>0</v>
      </c>
      <c r="AT257" s="36">
        <v>0</v>
      </c>
      <c r="AU257" s="36">
        <v>0</v>
      </c>
      <c r="AV257" s="36">
        <v>0</v>
      </c>
      <c r="AW257" s="36">
        <v>0</v>
      </c>
      <c r="AX257" s="36">
        <v>0</v>
      </c>
      <c r="AY257" s="36">
        <v>0</v>
      </c>
      <c r="AZ257" s="36">
        <v>0</v>
      </c>
    </row>
    <row r="258" s="24" customFormat="1" ht="21" customHeight="1" spans="1:52">
      <c r="A258" s="42"/>
      <c r="B258" s="43"/>
      <c r="C258" s="42"/>
      <c r="D258" s="37" t="s">
        <v>37</v>
      </c>
      <c r="E258" s="38"/>
      <c r="F258" s="38"/>
      <c r="G258" s="38"/>
      <c r="H258" s="38"/>
      <c r="I258" s="38"/>
      <c r="J258" s="39">
        <v>7</v>
      </c>
      <c r="K258" s="39"/>
      <c r="L258" s="44">
        <v>1.5</v>
      </c>
      <c r="M258" s="38">
        <v>2</v>
      </c>
      <c r="N258" s="38">
        <v>2</v>
      </c>
      <c r="O258" s="38">
        <v>2.5</v>
      </c>
      <c r="P258" s="38"/>
      <c r="Q258" s="39">
        <v>6</v>
      </c>
      <c r="R258" s="39"/>
      <c r="S258" s="38">
        <v>2</v>
      </c>
      <c r="T258" s="38"/>
      <c r="U258" s="38"/>
      <c r="V258" s="38"/>
      <c r="W258" s="40"/>
      <c r="X258" s="39"/>
      <c r="Y258" s="39"/>
      <c r="Z258" s="38"/>
      <c r="AA258" s="38"/>
      <c r="AB258" s="38"/>
      <c r="AC258" s="38"/>
      <c r="AD258" s="38"/>
      <c r="AE258" s="39"/>
      <c r="AF258" s="39"/>
      <c r="AG258" s="38"/>
      <c r="AH258" s="38"/>
      <c r="AI258" s="37">
        <v>7</v>
      </c>
      <c r="AJ258" s="43"/>
      <c r="AK258" s="43"/>
      <c r="AL258" s="43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</row>
    <row r="259" s="24" customFormat="1" ht="21" customHeight="1" spans="1:52">
      <c r="A259" s="36">
        <v>128</v>
      </c>
      <c r="B259" s="35" t="s">
        <v>40</v>
      </c>
      <c r="C259" s="36" t="s">
        <v>212</v>
      </c>
      <c r="D259" s="37" t="s">
        <v>34</v>
      </c>
      <c r="E259" s="44" t="s">
        <v>39</v>
      </c>
      <c r="F259" s="44" t="s">
        <v>39</v>
      </c>
      <c r="G259" s="44" t="s">
        <v>39</v>
      </c>
      <c r="H259" s="44" t="s">
        <v>39</v>
      </c>
      <c r="I259" s="44" t="s">
        <v>39</v>
      </c>
      <c r="J259" s="39" t="s">
        <v>39</v>
      </c>
      <c r="K259" s="39" t="s">
        <v>39</v>
      </c>
      <c r="L259" s="44" t="s">
        <v>39</v>
      </c>
      <c r="M259" s="44" t="s">
        <v>39</v>
      </c>
      <c r="N259" s="44" t="s">
        <v>39</v>
      </c>
      <c r="O259" s="44" t="s">
        <v>39</v>
      </c>
      <c r="P259" s="44" t="s">
        <v>39</v>
      </c>
      <c r="Q259" s="39" t="s">
        <v>39</v>
      </c>
      <c r="R259" s="39" t="s">
        <v>39</v>
      </c>
      <c r="S259" s="44" t="s">
        <v>39</v>
      </c>
      <c r="T259" s="44" t="s">
        <v>39</v>
      </c>
      <c r="U259" s="44" t="s">
        <v>39</v>
      </c>
      <c r="V259" s="44" t="s">
        <v>39</v>
      </c>
      <c r="W259" s="40" t="s">
        <v>39</v>
      </c>
      <c r="X259" s="39" t="s">
        <v>39</v>
      </c>
      <c r="Y259" s="39" t="s">
        <v>39</v>
      </c>
      <c r="Z259" s="44" t="s">
        <v>39</v>
      </c>
      <c r="AA259" s="44" t="s">
        <v>39</v>
      </c>
      <c r="AB259" s="44" t="s">
        <v>39</v>
      </c>
      <c r="AC259" s="44" t="s">
        <v>39</v>
      </c>
      <c r="AD259" s="44" t="s">
        <v>39</v>
      </c>
      <c r="AE259" s="39" t="s">
        <v>39</v>
      </c>
      <c r="AF259" s="39" t="s">
        <v>39</v>
      </c>
      <c r="AG259" s="44" t="s">
        <v>39</v>
      </c>
      <c r="AH259" s="44" t="s">
        <v>39</v>
      </c>
      <c r="AI259" s="37">
        <v>0</v>
      </c>
      <c r="AJ259" s="35">
        <f t="shared" si="251"/>
        <v>0</v>
      </c>
      <c r="AK259" s="35">
        <v>30</v>
      </c>
      <c r="AL259" s="35">
        <f t="shared" si="252"/>
        <v>24</v>
      </c>
      <c r="AM259" s="36">
        <f t="shared" si="253"/>
        <v>43</v>
      </c>
      <c r="AN259" s="36">
        <f t="shared" si="254"/>
        <v>10.5</v>
      </c>
      <c r="AO259" s="36">
        <f t="shared" si="255"/>
        <v>168</v>
      </c>
      <c r="AP259" s="36">
        <f t="shared" si="256"/>
        <v>245.5</v>
      </c>
      <c r="AQ259" s="36">
        <v>0</v>
      </c>
      <c r="AR259" s="36">
        <v>80</v>
      </c>
      <c r="AS259" s="36">
        <v>0</v>
      </c>
      <c r="AT259" s="36">
        <v>0</v>
      </c>
      <c r="AU259" s="36">
        <v>0</v>
      </c>
      <c r="AV259" s="36">
        <v>0</v>
      </c>
      <c r="AW259" s="36">
        <v>0</v>
      </c>
      <c r="AX259" s="36">
        <v>0</v>
      </c>
      <c r="AY259" s="36">
        <v>0</v>
      </c>
      <c r="AZ259" s="36">
        <v>0</v>
      </c>
    </row>
    <row r="260" s="24" customFormat="1" ht="21" customHeight="1" spans="1:52">
      <c r="A260" s="42"/>
      <c r="B260" s="43"/>
      <c r="C260" s="42"/>
      <c r="D260" s="37" t="s">
        <v>37</v>
      </c>
      <c r="E260" s="38">
        <v>1</v>
      </c>
      <c r="F260" s="38">
        <v>1.5</v>
      </c>
      <c r="G260" s="38">
        <v>1.5</v>
      </c>
      <c r="H260" s="38">
        <v>1</v>
      </c>
      <c r="I260" s="38"/>
      <c r="J260" s="39">
        <v>8</v>
      </c>
      <c r="K260" s="39"/>
      <c r="L260" s="38">
        <v>1</v>
      </c>
      <c r="M260" s="38">
        <v>1.5</v>
      </c>
      <c r="N260" s="38">
        <v>1.5</v>
      </c>
      <c r="O260" s="38">
        <v>1.5</v>
      </c>
      <c r="P260" s="38">
        <v>1.5</v>
      </c>
      <c r="Q260" s="39">
        <v>5</v>
      </c>
      <c r="R260" s="39">
        <v>5</v>
      </c>
      <c r="S260" s="38">
        <v>2.5</v>
      </c>
      <c r="T260" s="38"/>
      <c r="U260" s="38"/>
      <c r="V260" s="38"/>
      <c r="W260" s="40">
        <v>10.5</v>
      </c>
      <c r="X260" s="39">
        <v>8.5</v>
      </c>
      <c r="Y260" s="39">
        <v>8.5</v>
      </c>
      <c r="Z260" s="38">
        <v>2.5</v>
      </c>
      <c r="AA260" s="38">
        <v>1</v>
      </c>
      <c r="AB260" s="38">
        <v>3</v>
      </c>
      <c r="AC260" s="38">
        <v>1.5</v>
      </c>
      <c r="AD260" s="38"/>
      <c r="AE260" s="39">
        <v>8</v>
      </c>
      <c r="AF260" s="39"/>
      <c r="AG260" s="38">
        <v>1.5</v>
      </c>
      <c r="AH260" s="38"/>
      <c r="AI260" s="37">
        <v>0</v>
      </c>
      <c r="AJ260" s="43"/>
      <c r="AK260" s="43"/>
      <c r="AL260" s="43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</row>
    <row r="261" s="24" customFormat="1" ht="21" customHeight="1" spans="1:52">
      <c r="A261" s="36">
        <v>129</v>
      </c>
      <c r="B261" s="35" t="s">
        <v>32</v>
      </c>
      <c r="C261" s="36" t="s">
        <v>213</v>
      </c>
      <c r="D261" s="37" t="s">
        <v>34</v>
      </c>
      <c r="E261" s="44" t="s">
        <v>214</v>
      </c>
      <c r="F261" s="44" t="s">
        <v>35</v>
      </c>
      <c r="G261" s="44" t="s">
        <v>35</v>
      </c>
      <c r="H261" s="44" t="s">
        <v>39</v>
      </c>
      <c r="I261" s="44" t="s">
        <v>39</v>
      </c>
      <c r="J261" s="39" t="s">
        <v>39</v>
      </c>
      <c r="K261" s="39" t="s">
        <v>36</v>
      </c>
      <c r="L261" s="44" t="s">
        <v>35</v>
      </c>
      <c r="M261" s="44" t="s">
        <v>35</v>
      </c>
      <c r="N261" s="44" t="s">
        <v>35</v>
      </c>
      <c r="O261" s="44" t="s">
        <v>39</v>
      </c>
      <c r="P261" s="44" t="s">
        <v>215</v>
      </c>
      <c r="Q261" s="39"/>
      <c r="R261" s="39" t="s">
        <v>36</v>
      </c>
      <c r="S261" s="44" t="s">
        <v>35</v>
      </c>
      <c r="T261" s="44" t="s">
        <v>35</v>
      </c>
      <c r="U261" s="44" t="s">
        <v>35</v>
      </c>
      <c r="V261" s="44" t="s">
        <v>35</v>
      </c>
      <c r="W261" s="40" t="s">
        <v>36</v>
      </c>
      <c r="X261" s="39" t="s">
        <v>36</v>
      </c>
      <c r="Y261" s="39" t="s">
        <v>36</v>
      </c>
      <c r="Z261" s="44" t="s">
        <v>35</v>
      </c>
      <c r="AA261" s="44" t="s">
        <v>35</v>
      </c>
      <c r="AB261" s="44" t="s">
        <v>35</v>
      </c>
      <c r="AC261" s="44" t="s">
        <v>35</v>
      </c>
      <c r="AD261" s="44" t="s">
        <v>35</v>
      </c>
      <c r="AE261" s="39" t="s">
        <v>36</v>
      </c>
      <c r="AF261" s="39" t="s">
        <v>39</v>
      </c>
      <c r="AG261" s="44" t="s">
        <v>39</v>
      </c>
      <c r="AH261" s="44" t="s">
        <v>39</v>
      </c>
      <c r="AI261" s="37">
        <v>14</v>
      </c>
      <c r="AJ261" s="35">
        <f t="shared" si="251"/>
        <v>18</v>
      </c>
      <c r="AK261" s="35">
        <v>7</v>
      </c>
      <c r="AL261" s="35">
        <f t="shared" si="252"/>
        <v>23</v>
      </c>
      <c r="AM261" s="36">
        <f t="shared" si="253"/>
        <v>8</v>
      </c>
      <c r="AN261" s="36">
        <f t="shared" si="254"/>
        <v>0</v>
      </c>
      <c r="AO261" s="36">
        <f t="shared" si="255"/>
        <v>168</v>
      </c>
      <c r="AP261" s="36">
        <f t="shared" si="256"/>
        <v>192.5</v>
      </c>
      <c r="AQ261" s="36">
        <v>0</v>
      </c>
      <c r="AR261" s="36">
        <v>0</v>
      </c>
      <c r="AS261" s="36">
        <v>0</v>
      </c>
      <c r="AT261" s="36">
        <v>6.5</v>
      </c>
      <c r="AU261" s="36">
        <v>0</v>
      </c>
      <c r="AV261" s="36">
        <v>0</v>
      </c>
      <c r="AW261" s="36">
        <v>0</v>
      </c>
      <c r="AX261" s="36">
        <v>0</v>
      </c>
      <c r="AY261" s="36">
        <v>0</v>
      </c>
      <c r="AZ261" s="36">
        <v>0</v>
      </c>
    </row>
    <row r="262" s="24" customFormat="1" ht="21" customHeight="1" spans="1:52">
      <c r="A262" s="42"/>
      <c r="B262" s="43"/>
      <c r="C262" s="42"/>
      <c r="D262" s="37" t="s">
        <v>37</v>
      </c>
      <c r="E262" s="38">
        <v>3.5</v>
      </c>
      <c r="F262" s="38"/>
      <c r="G262" s="44">
        <v>1.5</v>
      </c>
      <c r="H262" s="38">
        <v>4.5</v>
      </c>
      <c r="I262" s="38"/>
      <c r="J262" s="39">
        <v>7</v>
      </c>
      <c r="K262" s="39"/>
      <c r="L262" s="38"/>
      <c r="M262" s="44">
        <v>1.5</v>
      </c>
      <c r="N262" s="38">
        <v>4.5</v>
      </c>
      <c r="O262" s="38">
        <v>4.5</v>
      </c>
      <c r="P262" s="38"/>
      <c r="Q262" s="39">
        <v>1</v>
      </c>
      <c r="R262" s="39"/>
      <c r="S262" s="38">
        <v>3</v>
      </c>
      <c r="T262" s="38"/>
      <c r="U262" s="38"/>
      <c r="V262" s="38"/>
      <c r="W262" s="40"/>
      <c r="X262" s="39"/>
      <c r="Y262" s="39"/>
      <c r="Z262" s="38"/>
      <c r="AA262" s="38"/>
      <c r="AB262" s="38"/>
      <c r="AC262" s="38"/>
      <c r="AD262" s="38"/>
      <c r="AE262" s="39"/>
      <c r="AF262" s="39"/>
      <c r="AG262" s="38"/>
      <c r="AH262" s="38"/>
      <c r="AI262" s="37">
        <v>4</v>
      </c>
      <c r="AJ262" s="43"/>
      <c r="AK262" s="43"/>
      <c r="AL262" s="43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</row>
    <row r="263" s="24" customFormat="1" ht="21" customHeight="1" spans="1:52">
      <c r="A263" s="36">
        <v>130</v>
      </c>
      <c r="B263" s="35" t="s">
        <v>32</v>
      </c>
      <c r="C263" s="36" t="s">
        <v>216</v>
      </c>
      <c r="D263" s="37" t="s">
        <v>34</v>
      </c>
      <c r="E263" s="44" t="s">
        <v>35</v>
      </c>
      <c r="F263" s="44" t="s">
        <v>35</v>
      </c>
      <c r="G263" s="44" t="s">
        <v>39</v>
      </c>
      <c r="H263" s="44" t="s">
        <v>39</v>
      </c>
      <c r="I263" s="44" t="s">
        <v>39</v>
      </c>
      <c r="J263" s="39" t="s">
        <v>36</v>
      </c>
      <c r="K263" s="39" t="s">
        <v>36</v>
      </c>
      <c r="L263" s="44" t="s">
        <v>35</v>
      </c>
      <c r="M263" s="44" t="s">
        <v>39</v>
      </c>
      <c r="N263" s="44" t="s">
        <v>39</v>
      </c>
      <c r="O263" s="44" t="s">
        <v>39</v>
      </c>
      <c r="P263" s="44" t="s">
        <v>39</v>
      </c>
      <c r="Q263" s="39" t="s">
        <v>36</v>
      </c>
      <c r="R263" s="39" t="s">
        <v>36</v>
      </c>
      <c r="S263" s="44" t="s">
        <v>39</v>
      </c>
      <c r="T263" s="44" t="s">
        <v>39</v>
      </c>
      <c r="U263" s="44" t="s">
        <v>35</v>
      </c>
      <c r="V263" s="44" t="s">
        <v>35</v>
      </c>
      <c r="W263" s="40" t="s">
        <v>36</v>
      </c>
      <c r="X263" s="39" t="s">
        <v>36</v>
      </c>
      <c r="Y263" s="39" t="s">
        <v>36</v>
      </c>
      <c r="Z263" s="44" t="s">
        <v>39</v>
      </c>
      <c r="AA263" s="44" t="s">
        <v>39</v>
      </c>
      <c r="AB263" s="44" t="s">
        <v>39</v>
      </c>
      <c r="AC263" s="44" t="s">
        <v>39</v>
      </c>
      <c r="AD263" s="44" t="s">
        <v>35</v>
      </c>
      <c r="AE263" s="39" t="s">
        <v>36</v>
      </c>
      <c r="AF263" s="39" t="s">
        <v>36</v>
      </c>
      <c r="AG263" s="44" t="s">
        <v>39</v>
      </c>
      <c r="AH263" s="44" t="s">
        <v>39</v>
      </c>
      <c r="AI263" s="37">
        <v>6</v>
      </c>
      <c r="AJ263" s="35">
        <f t="shared" ref="AJ263:AJ267" si="257">AI263+AI264</f>
        <v>6</v>
      </c>
      <c r="AK263" s="35">
        <v>0</v>
      </c>
      <c r="AL263" s="35">
        <v>15</v>
      </c>
      <c r="AM263" s="36">
        <f t="shared" ref="AM263:AM267" si="258">J264+K264+Q264+R264+X264+Y264+AE264+AF264</f>
        <v>0</v>
      </c>
      <c r="AN263" s="36">
        <f t="shared" ref="AN263:AN267" si="259">W264</f>
        <v>0</v>
      </c>
      <c r="AO263" s="36">
        <f t="shared" ref="AO263:AO267" si="260">21*8</f>
        <v>168</v>
      </c>
      <c r="AP263" s="36">
        <f t="shared" ref="AP263:AP267" si="261">AL263+AM263+AN263+AO263-AQ263-AS263-AT263-AV263-AW263-AX263-AY263-AZ263-AU263</f>
        <v>183</v>
      </c>
      <c r="AQ263" s="36">
        <v>0</v>
      </c>
      <c r="AR263" s="36">
        <v>25.5</v>
      </c>
      <c r="AS263" s="36">
        <v>0</v>
      </c>
      <c r="AT263" s="36">
        <v>0</v>
      </c>
      <c r="AU263" s="36">
        <v>0</v>
      </c>
      <c r="AV263" s="36">
        <v>0</v>
      </c>
      <c r="AW263" s="36">
        <v>0</v>
      </c>
      <c r="AX263" s="36">
        <v>0</v>
      </c>
      <c r="AY263" s="36">
        <v>0</v>
      </c>
      <c r="AZ263" s="36">
        <v>0</v>
      </c>
    </row>
    <row r="264" s="24" customFormat="1" ht="21" customHeight="1" spans="1:52">
      <c r="A264" s="42"/>
      <c r="B264" s="43"/>
      <c r="C264" s="42"/>
      <c r="D264" s="37" t="s">
        <v>37</v>
      </c>
      <c r="E264" s="38"/>
      <c r="F264" s="38"/>
      <c r="G264" s="38"/>
      <c r="H264" s="38"/>
      <c r="I264" s="38"/>
      <c r="J264" s="39"/>
      <c r="K264" s="39"/>
      <c r="L264" s="38"/>
      <c r="M264" s="38"/>
      <c r="N264" s="38"/>
      <c r="O264" s="38"/>
      <c r="P264" s="38"/>
      <c r="Q264" s="39"/>
      <c r="R264" s="39"/>
      <c r="S264" s="38"/>
      <c r="T264" s="38"/>
      <c r="U264" s="38"/>
      <c r="V264" s="38"/>
      <c r="W264" s="40"/>
      <c r="X264" s="39"/>
      <c r="Y264" s="39"/>
      <c r="Z264" s="38"/>
      <c r="AA264" s="38"/>
      <c r="AB264" s="38"/>
      <c r="AC264" s="38"/>
      <c r="AD264" s="38"/>
      <c r="AE264" s="39"/>
      <c r="AF264" s="39"/>
      <c r="AG264" s="38"/>
      <c r="AH264" s="38"/>
      <c r="AI264" s="37">
        <v>0</v>
      </c>
      <c r="AJ264" s="43"/>
      <c r="AK264" s="43"/>
      <c r="AL264" s="43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</row>
    <row r="265" s="24" customFormat="1" ht="21" customHeight="1" spans="1:52">
      <c r="A265" s="36">
        <v>131</v>
      </c>
      <c r="B265" s="35" t="s">
        <v>32</v>
      </c>
      <c r="C265" s="36" t="s">
        <v>217</v>
      </c>
      <c r="D265" s="37" t="s">
        <v>34</v>
      </c>
      <c r="E265" s="44" t="s">
        <v>50</v>
      </c>
      <c r="F265" s="44" t="s">
        <v>50</v>
      </c>
      <c r="G265" s="44" t="s">
        <v>50</v>
      </c>
      <c r="H265" s="44" t="s">
        <v>50</v>
      </c>
      <c r="I265" s="44" t="s">
        <v>50</v>
      </c>
      <c r="J265" s="39" t="s">
        <v>36</v>
      </c>
      <c r="K265" s="39" t="s">
        <v>36</v>
      </c>
      <c r="L265" s="44" t="s">
        <v>50</v>
      </c>
      <c r="M265" s="44" t="s">
        <v>50</v>
      </c>
      <c r="N265" s="44" t="s">
        <v>50</v>
      </c>
      <c r="O265" s="44" t="s">
        <v>50</v>
      </c>
      <c r="P265" s="44" t="s">
        <v>50</v>
      </c>
      <c r="Q265" s="39" t="s">
        <v>36</v>
      </c>
      <c r="R265" s="39" t="s">
        <v>36</v>
      </c>
      <c r="S265" s="44" t="s">
        <v>35</v>
      </c>
      <c r="T265" s="44" t="s">
        <v>35</v>
      </c>
      <c r="U265" s="44" t="s">
        <v>35</v>
      </c>
      <c r="V265" s="44" t="s">
        <v>35</v>
      </c>
      <c r="W265" s="40" t="s">
        <v>36</v>
      </c>
      <c r="X265" s="39"/>
      <c r="Y265" s="39"/>
      <c r="Z265" s="44" t="s">
        <v>35</v>
      </c>
      <c r="AA265" s="44" t="s">
        <v>35</v>
      </c>
      <c r="AB265" s="44" t="s">
        <v>35</v>
      </c>
      <c r="AC265" s="44" t="s">
        <v>35</v>
      </c>
      <c r="AD265" s="44" t="s">
        <v>35</v>
      </c>
      <c r="AE265" s="39"/>
      <c r="AF265" s="39" t="s">
        <v>36</v>
      </c>
      <c r="AG265" s="44" t="s">
        <v>35</v>
      </c>
      <c r="AH265" s="44" t="s">
        <v>35</v>
      </c>
      <c r="AI265" s="37">
        <v>11</v>
      </c>
      <c r="AJ265" s="35">
        <f t="shared" si="257"/>
        <v>16</v>
      </c>
      <c r="AK265" s="35">
        <v>0</v>
      </c>
      <c r="AL265" s="35">
        <f t="shared" ref="AL265:AL269" si="262">E266+F266+G266+H266+I266+L266+M266+N266+O266+P266+S266+T266+U266+V266+Z266+AA266+AB266+AC266+AD266+AG266+AH266</f>
        <v>3</v>
      </c>
      <c r="AM265" s="36">
        <f t="shared" si="258"/>
        <v>19.5</v>
      </c>
      <c r="AN265" s="36">
        <f t="shared" si="259"/>
        <v>0</v>
      </c>
      <c r="AO265" s="36">
        <f t="shared" si="260"/>
        <v>168</v>
      </c>
      <c r="AP265" s="36">
        <f t="shared" si="261"/>
        <v>110.5</v>
      </c>
      <c r="AQ265" s="36">
        <v>0</v>
      </c>
      <c r="AR265" s="36">
        <v>0</v>
      </c>
      <c r="AS265" s="36">
        <v>0</v>
      </c>
      <c r="AT265" s="36">
        <v>80</v>
      </c>
      <c r="AU265" s="36">
        <v>0</v>
      </c>
      <c r="AV265" s="36">
        <v>0</v>
      </c>
      <c r="AW265" s="36">
        <v>0</v>
      </c>
      <c r="AX265" s="36">
        <v>0</v>
      </c>
      <c r="AY265" s="36">
        <v>0</v>
      </c>
      <c r="AZ265" s="36">
        <v>0</v>
      </c>
    </row>
    <row r="266" s="24" customFormat="1" ht="21" customHeight="1" spans="1:52">
      <c r="A266" s="42"/>
      <c r="B266" s="43"/>
      <c r="C266" s="42"/>
      <c r="D266" s="37" t="s">
        <v>37</v>
      </c>
      <c r="E266" s="38"/>
      <c r="F266" s="38"/>
      <c r="G266" s="38"/>
      <c r="H266" s="38"/>
      <c r="I266" s="38"/>
      <c r="J266" s="39"/>
      <c r="K266" s="39"/>
      <c r="L266" s="38"/>
      <c r="M266" s="38"/>
      <c r="N266" s="38"/>
      <c r="O266" s="38"/>
      <c r="P266" s="38"/>
      <c r="Q266" s="39"/>
      <c r="R266" s="39"/>
      <c r="S266" s="38"/>
      <c r="T266" s="38"/>
      <c r="U266" s="38"/>
      <c r="V266" s="38"/>
      <c r="W266" s="40"/>
      <c r="X266" s="39">
        <v>8</v>
      </c>
      <c r="Y266" s="39">
        <v>8</v>
      </c>
      <c r="Z266" s="38"/>
      <c r="AA266" s="38"/>
      <c r="AB266" s="44">
        <v>1.5</v>
      </c>
      <c r="AC266" s="38"/>
      <c r="AD266" s="38"/>
      <c r="AE266" s="39">
        <v>3.5</v>
      </c>
      <c r="AF266" s="39"/>
      <c r="AG266" s="44">
        <v>1.5</v>
      </c>
      <c r="AH266" s="38"/>
      <c r="AI266" s="37">
        <v>5</v>
      </c>
      <c r="AJ266" s="43"/>
      <c r="AK266" s="43"/>
      <c r="AL266" s="43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</row>
    <row r="267" s="24" customFormat="1" ht="21" customHeight="1" spans="1:52">
      <c r="A267" s="36">
        <v>132</v>
      </c>
      <c r="B267" s="35" t="s">
        <v>40</v>
      </c>
      <c r="C267" s="36" t="s">
        <v>218</v>
      </c>
      <c r="D267" s="37" t="s">
        <v>34</v>
      </c>
      <c r="E267" s="44" t="s">
        <v>39</v>
      </c>
      <c r="F267" s="44" t="s">
        <v>39</v>
      </c>
      <c r="G267" s="44" t="s">
        <v>39</v>
      </c>
      <c r="H267" s="44" t="s">
        <v>39</v>
      </c>
      <c r="I267" s="44" t="s">
        <v>39</v>
      </c>
      <c r="J267" s="39" t="s">
        <v>39</v>
      </c>
      <c r="K267" s="39" t="s">
        <v>39</v>
      </c>
      <c r="L267" s="44" t="s">
        <v>39</v>
      </c>
      <c r="M267" s="44" t="s">
        <v>39</v>
      </c>
      <c r="N267" s="44" t="s">
        <v>39</v>
      </c>
      <c r="O267" s="44" t="s">
        <v>39</v>
      </c>
      <c r="P267" s="44" t="s">
        <v>39</v>
      </c>
      <c r="Q267" s="39" t="s">
        <v>39</v>
      </c>
      <c r="R267" s="39" t="s">
        <v>36</v>
      </c>
      <c r="S267" s="44" t="s">
        <v>35</v>
      </c>
      <c r="T267" s="44" t="s">
        <v>35</v>
      </c>
      <c r="U267" s="44" t="s">
        <v>35</v>
      </c>
      <c r="V267" s="44" t="s">
        <v>35</v>
      </c>
      <c r="W267" s="40" t="s">
        <v>36</v>
      </c>
      <c r="X267" s="39" t="s">
        <v>36</v>
      </c>
      <c r="Y267" s="39" t="s">
        <v>36</v>
      </c>
      <c r="Z267" s="44" t="s">
        <v>35</v>
      </c>
      <c r="AA267" s="44" t="s">
        <v>35</v>
      </c>
      <c r="AB267" s="44" t="s">
        <v>35</v>
      </c>
      <c r="AC267" s="44" t="s">
        <v>39</v>
      </c>
      <c r="AD267" s="44" t="s">
        <v>39</v>
      </c>
      <c r="AE267" s="39" t="s">
        <v>39</v>
      </c>
      <c r="AF267" s="39" t="s">
        <v>39</v>
      </c>
      <c r="AG267" s="44" t="s">
        <v>39</v>
      </c>
      <c r="AH267" s="44" t="s">
        <v>39</v>
      </c>
      <c r="AI267" s="37">
        <v>7</v>
      </c>
      <c r="AJ267" s="35">
        <f t="shared" si="257"/>
        <v>9</v>
      </c>
      <c r="AK267" s="35">
        <v>19</v>
      </c>
      <c r="AL267" s="35">
        <f t="shared" si="262"/>
        <v>19.5</v>
      </c>
      <c r="AM267" s="36">
        <f t="shared" si="258"/>
        <v>28</v>
      </c>
      <c r="AN267" s="36">
        <f t="shared" si="259"/>
        <v>0</v>
      </c>
      <c r="AO267" s="36">
        <f t="shared" si="260"/>
        <v>168</v>
      </c>
      <c r="AP267" s="36">
        <f t="shared" si="261"/>
        <v>215.5</v>
      </c>
      <c r="AQ267" s="36">
        <v>0</v>
      </c>
      <c r="AR267" s="36">
        <v>19.5</v>
      </c>
      <c r="AS267" s="36">
        <v>0</v>
      </c>
      <c r="AT267" s="36">
        <v>0</v>
      </c>
      <c r="AU267" s="36">
        <v>0</v>
      </c>
      <c r="AV267" s="36">
        <v>0</v>
      </c>
      <c r="AW267" s="36">
        <v>0</v>
      </c>
      <c r="AX267" s="36">
        <v>0</v>
      </c>
      <c r="AY267" s="36">
        <v>0</v>
      </c>
      <c r="AZ267" s="36">
        <v>0</v>
      </c>
    </row>
    <row r="268" s="24" customFormat="1" ht="21" customHeight="1" spans="1:52">
      <c r="A268" s="42"/>
      <c r="B268" s="43"/>
      <c r="C268" s="42"/>
      <c r="D268" s="37" t="s">
        <v>37</v>
      </c>
      <c r="E268" s="38">
        <v>1.5</v>
      </c>
      <c r="F268" s="38">
        <v>1.5</v>
      </c>
      <c r="G268" s="38">
        <v>2</v>
      </c>
      <c r="H268" s="38">
        <v>1.5</v>
      </c>
      <c r="I268" s="38">
        <v>1.5</v>
      </c>
      <c r="J268" s="39">
        <v>9</v>
      </c>
      <c r="K268" s="39"/>
      <c r="L268" s="38">
        <v>1.5</v>
      </c>
      <c r="M268" s="38"/>
      <c r="N268" s="38">
        <v>3</v>
      </c>
      <c r="O268" s="38">
        <v>1.5</v>
      </c>
      <c r="P268" s="38"/>
      <c r="Q268" s="39">
        <v>8</v>
      </c>
      <c r="R268" s="39"/>
      <c r="S268" s="38"/>
      <c r="T268" s="38"/>
      <c r="U268" s="38"/>
      <c r="V268" s="38"/>
      <c r="W268" s="40"/>
      <c r="X268" s="39"/>
      <c r="Y268" s="39"/>
      <c r="Z268" s="38"/>
      <c r="AA268" s="38">
        <v>2</v>
      </c>
      <c r="AB268" s="38">
        <v>2</v>
      </c>
      <c r="AC268" s="38"/>
      <c r="AD268" s="38"/>
      <c r="AE268" s="39">
        <v>8</v>
      </c>
      <c r="AF268" s="39">
        <v>3</v>
      </c>
      <c r="AG268" s="38">
        <v>1.5</v>
      </c>
      <c r="AH268" s="38"/>
      <c r="AI268" s="37">
        <v>2</v>
      </c>
      <c r="AJ268" s="43"/>
      <c r="AK268" s="43"/>
      <c r="AL268" s="43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</row>
    <row r="269" s="24" customFormat="1" ht="21" customHeight="1" spans="1:52">
      <c r="A269" s="36">
        <v>133</v>
      </c>
      <c r="B269" s="35" t="s">
        <v>32</v>
      </c>
      <c r="C269" s="36" t="s">
        <v>219</v>
      </c>
      <c r="D269" s="37" t="s">
        <v>34</v>
      </c>
      <c r="E269" s="44" t="s">
        <v>39</v>
      </c>
      <c r="F269" s="44" t="s">
        <v>39</v>
      </c>
      <c r="G269" s="44" t="s">
        <v>39</v>
      </c>
      <c r="H269" s="44" t="s">
        <v>39</v>
      </c>
      <c r="I269" s="44" t="s">
        <v>39</v>
      </c>
      <c r="J269" s="39" t="s">
        <v>39</v>
      </c>
      <c r="K269" s="39" t="s">
        <v>39</v>
      </c>
      <c r="L269" s="44" t="s">
        <v>39</v>
      </c>
      <c r="M269" s="44" t="s">
        <v>39</v>
      </c>
      <c r="N269" s="44" t="s">
        <v>39</v>
      </c>
      <c r="O269" s="44" t="s">
        <v>39</v>
      </c>
      <c r="P269" s="44" t="s">
        <v>39</v>
      </c>
      <c r="Q269" s="39" t="s">
        <v>39</v>
      </c>
      <c r="R269" s="39" t="s">
        <v>39</v>
      </c>
      <c r="S269" s="44" t="s">
        <v>39</v>
      </c>
      <c r="T269" s="44" t="s">
        <v>39</v>
      </c>
      <c r="U269" s="44" t="s">
        <v>39</v>
      </c>
      <c r="V269" s="44" t="s">
        <v>39</v>
      </c>
      <c r="W269" s="40"/>
      <c r="X269" s="39"/>
      <c r="Y269" s="39" t="s">
        <v>39</v>
      </c>
      <c r="Z269" s="44" t="s">
        <v>39</v>
      </c>
      <c r="AA269" s="44" t="s">
        <v>39</v>
      </c>
      <c r="AB269" s="44" t="s">
        <v>39</v>
      </c>
      <c r="AC269" s="44" t="s">
        <v>39</v>
      </c>
      <c r="AD269" s="44" t="s">
        <v>39</v>
      </c>
      <c r="AE269" s="39" t="s">
        <v>39</v>
      </c>
      <c r="AF269" s="39" t="s">
        <v>39</v>
      </c>
      <c r="AG269" s="44" t="s">
        <v>39</v>
      </c>
      <c r="AH269" s="44" t="s">
        <v>39</v>
      </c>
      <c r="AI269" s="37">
        <v>0</v>
      </c>
      <c r="AJ269" s="35">
        <f t="shared" ref="AJ269:AJ273" si="263">AI269+AI270</f>
        <v>2</v>
      </c>
      <c r="AK269" s="35">
        <v>28</v>
      </c>
      <c r="AL269" s="35">
        <f t="shared" si="262"/>
        <v>17</v>
      </c>
      <c r="AM269" s="36">
        <f t="shared" ref="AM269:AM273" si="264">J270+K270+Q270+R270+X270+Y270+AE270+AF270</f>
        <v>72.5</v>
      </c>
      <c r="AN269" s="36">
        <f t="shared" ref="AN269:AN273" si="265">W270</f>
        <v>8</v>
      </c>
      <c r="AO269" s="36">
        <f t="shared" ref="AO269:AO273" si="266">21*8</f>
        <v>168</v>
      </c>
      <c r="AP269" s="36">
        <f t="shared" ref="AP269:AP273" si="267">AL269+AM269+AN269+AO269-AQ269-AS269-AT269-AV269-AW269-AX269-AY269-AZ269-AU269</f>
        <v>265.5</v>
      </c>
      <c r="AQ269" s="36">
        <v>0</v>
      </c>
      <c r="AR269" s="36">
        <v>75.5</v>
      </c>
      <c r="AS269" s="36">
        <v>0</v>
      </c>
      <c r="AT269" s="36">
        <v>0</v>
      </c>
      <c r="AU269" s="36">
        <v>0</v>
      </c>
      <c r="AV269" s="36">
        <v>0</v>
      </c>
      <c r="AW269" s="36">
        <v>0</v>
      </c>
      <c r="AX269" s="36">
        <v>0</v>
      </c>
      <c r="AY269" s="36">
        <v>0</v>
      </c>
      <c r="AZ269" s="36">
        <v>0</v>
      </c>
    </row>
    <row r="270" s="24" customFormat="1" ht="21" customHeight="1" spans="1:52">
      <c r="A270" s="42"/>
      <c r="B270" s="43"/>
      <c r="C270" s="42"/>
      <c r="D270" s="37" t="s">
        <v>37</v>
      </c>
      <c r="E270" s="38"/>
      <c r="F270" s="38"/>
      <c r="G270" s="38"/>
      <c r="H270" s="38"/>
      <c r="I270" s="38"/>
      <c r="J270" s="39">
        <v>10</v>
      </c>
      <c r="K270" s="39">
        <v>9.5</v>
      </c>
      <c r="L270" s="38"/>
      <c r="M270" s="38">
        <v>2</v>
      </c>
      <c r="N270" s="38"/>
      <c r="O270" s="38">
        <v>3</v>
      </c>
      <c r="P270" s="38"/>
      <c r="Q270" s="39">
        <v>10</v>
      </c>
      <c r="R270" s="39">
        <v>8</v>
      </c>
      <c r="S270" s="38">
        <v>2</v>
      </c>
      <c r="T270" s="38">
        <v>2</v>
      </c>
      <c r="U270" s="38"/>
      <c r="V270" s="38"/>
      <c r="W270" s="40">
        <v>8</v>
      </c>
      <c r="X270" s="39">
        <v>7</v>
      </c>
      <c r="Y270" s="39">
        <v>10</v>
      </c>
      <c r="Z270" s="38"/>
      <c r="AA270" s="38"/>
      <c r="AB270" s="38">
        <v>2</v>
      </c>
      <c r="AC270" s="38">
        <v>2</v>
      </c>
      <c r="AD270" s="38">
        <v>2</v>
      </c>
      <c r="AE270" s="39">
        <v>10</v>
      </c>
      <c r="AF270" s="39">
        <v>8</v>
      </c>
      <c r="AG270" s="38">
        <v>2</v>
      </c>
      <c r="AH270" s="38"/>
      <c r="AI270" s="37">
        <v>2</v>
      </c>
      <c r="AJ270" s="43"/>
      <c r="AK270" s="43"/>
      <c r="AL270" s="43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</row>
    <row r="271" s="24" customFormat="1" ht="21" customHeight="1" spans="1:52">
      <c r="A271" s="36">
        <v>134</v>
      </c>
      <c r="B271" s="35" t="s">
        <v>32</v>
      </c>
      <c r="C271" s="36" t="s">
        <v>220</v>
      </c>
      <c r="D271" s="37" t="s">
        <v>34</v>
      </c>
      <c r="E271" s="44" t="s">
        <v>35</v>
      </c>
      <c r="F271" s="44" t="s">
        <v>35</v>
      </c>
      <c r="G271" s="44" t="s">
        <v>35</v>
      </c>
      <c r="H271" s="44" t="s">
        <v>35</v>
      </c>
      <c r="I271" s="44" t="s">
        <v>35</v>
      </c>
      <c r="J271" s="39" t="s">
        <v>36</v>
      </c>
      <c r="K271" s="39" t="s">
        <v>36</v>
      </c>
      <c r="L271" s="44" t="s">
        <v>35</v>
      </c>
      <c r="M271" s="44" t="s">
        <v>35</v>
      </c>
      <c r="N271" s="44" t="s">
        <v>35</v>
      </c>
      <c r="O271" s="44" t="s">
        <v>35</v>
      </c>
      <c r="P271" s="44" t="s">
        <v>35</v>
      </c>
      <c r="Q271" s="39" t="s">
        <v>36</v>
      </c>
      <c r="R271" s="39" t="s">
        <v>36</v>
      </c>
      <c r="S271" s="44" t="s">
        <v>35</v>
      </c>
      <c r="T271" s="44" t="s">
        <v>209</v>
      </c>
      <c r="U271" s="44" t="s">
        <v>35</v>
      </c>
      <c r="V271" s="44" t="s">
        <v>35</v>
      </c>
      <c r="W271" s="40" t="s">
        <v>36</v>
      </c>
      <c r="X271" s="39" t="s">
        <v>36</v>
      </c>
      <c r="Y271" s="39" t="s">
        <v>36</v>
      </c>
      <c r="Z271" s="44" t="s">
        <v>35</v>
      </c>
      <c r="AA271" s="44" t="s">
        <v>39</v>
      </c>
      <c r="AB271" s="44" t="s">
        <v>39</v>
      </c>
      <c r="AC271" s="44" t="s">
        <v>39</v>
      </c>
      <c r="AD271" s="44" t="s">
        <v>35</v>
      </c>
      <c r="AE271" s="39" t="s">
        <v>36</v>
      </c>
      <c r="AF271" s="39" t="s">
        <v>36</v>
      </c>
      <c r="AG271" s="44" t="s">
        <v>35</v>
      </c>
      <c r="AH271" s="44" t="s">
        <v>35</v>
      </c>
      <c r="AI271" s="37">
        <v>17</v>
      </c>
      <c r="AJ271" s="35">
        <f t="shared" si="263"/>
        <v>22</v>
      </c>
      <c r="AK271" s="35">
        <v>3</v>
      </c>
      <c r="AL271" s="35">
        <f t="shared" ref="AL271:AL275" si="268">E272+F272+G272+H272+I272+L272+M272+N272+O272+P272+S272+T272+U272+V272+Z272+AA272+AB272+AC272+AD272+AG272+AH272</f>
        <v>17</v>
      </c>
      <c r="AM271" s="36">
        <f t="shared" si="264"/>
        <v>0</v>
      </c>
      <c r="AN271" s="36">
        <f t="shared" si="265"/>
        <v>0</v>
      </c>
      <c r="AO271" s="36">
        <f t="shared" si="266"/>
        <v>168</v>
      </c>
      <c r="AP271" s="36">
        <f t="shared" si="267"/>
        <v>180.5</v>
      </c>
      <c r="AQ271" s="36">
        <v>0</v>
      </c>
      <c r="AR271" s="36">
        <v>0</v>
      </c>
      <c r="AS271" s="36">
        <v>0</v>
      </c>
      <c r="AT271" s="36">
        <v>4.5</v>
      </c>
      <c r="AU271" s="36">
        <v>0</v>
      </c>
      <c r="AV271" s="36">
        <v>0</v>
      </c>
      <c r="AW271" s="36">
        <v>0</v>
      </c>
      <c r="AX271" s="36">
        <v>0</v>
      </c>
      <c r="AY271" s="36">
        <v>0</v>
      </c>
      <c r="AZ271" s="36">
        <v>0</v>
      </c>
    </row>
    <row r="272" s="24" customFormat="1" ht="21" customHeight="1" spans="1:52">
      <c r="A272" s="42"/>
      <c r="B272" s="43"/>
      <c r="C272" s="42"/>
      <c r="D272" s="37" t="s">
        <v>37</v>
      </c>
      <c r="E272" s="38"/>
      <c r="F272" s="38"/>
      <c r="G272" s="38">
        <v>2</v>
      </c>
      <c r="H272" s="38">
        <v>1</v>
      </c>
      <c r="I272" s="38"/>
      <c r="J272" s="39"/>
      <c r="K272" s="39"/>
      <c r="L272" s="38">
        <v>1</v>
      </c>
      <c r="M272" s="38"/>
      <c r="N272" s="38"/>
      <c r="O272" s="38">
        <v>2</v>
      </c>
      <c r="P272" s="38"/>
      <c r="Q272" s="39"/>
      <c r="R272" s="39"/>
      <c r="S272" s="38">
        <v>1.5</v>
      </c>
      <c r="T272" s="38"/>
      <c r="U272" s="44">
        <v>1.5</v>
      </c>
      <c r="V272" s="38"/>
      <c r="W272" s="40"/>
      <c r="X272" s="39"/>
      <c r="Y272" s="39"/>
      <c r="Z272" s="38">
        <v>3</v>
      </c>
      <c r="AA272" s="38"/>
      <c r="AB272" s="38"/>
      <c r="AC272" s="38">
        <v>2.5</v>
      </c>
      <c r="AD272" s="38"/>
      <c r="AE272" s="39"/>
      <c r="AF272" s="39"/>
      <c r="AG272" s="44">
        <v>1.5</v>
      </c>
      <c r="AH272" s="38">
        <v>1</v>
      </c>
      <c r="AI272" s="37">
        <v>5</v>
      </c>
      <c r="AJ272" s="43"/>
      <c r="AK272" s="43"/>
      <c r="AL272" s="43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</row>
    <row r="273" s="24" customFormat="1" ht="21" customHeight="1" spans="1:52">
      <c r="A273" s="36">
        <v>135</v>
      </c>
      <c r="B273" s="35" t="s">
        <v>32</v>
      </c>
      <c r="C273" s="36" t="s">
        <v>221</v>
      </c>
      <c r="D273" s="37" t="s">
        <v>34</v>
      </c>
      <c r="E273" s="44" t="s">
        <v>39</v>
      </c>
      <c r="F273" s="44" t="s">
        <v>39</v>
      </c>
      <c r="G273" s="44" t="s">
        <v>39</v>
      </c>
      <c r="H273" s="44" t="s">
        <v>39</v>
      </c>
      <c r="I273" s="44" t="s">
        <v>39</v>
      </c>
      <c r="J273" s="39" t="s">
        <v>39</v>
      </c>
      <c r="K273" s="39" t="s">
        <v>39</v>
      </c>
      <c r="L273" s="44" t="s">
        <v>39</v>
      </c>
      <c r="M273" s="44" t="s">
        <v>39</v>
      </c>
      <c r="N273" s="44" t="s">
        <v>39</v>
      </c>
      <c r="O273" s="44" t="s">
        <v>39</v>
      </c>
      <c r="P273" s="44" t="s">
        <v>39</v>
      </c>
      <c r="Q273" s="39" t="s">
        <v>39</v>
      </c>
      <c r="R273" s="39" t="s">
        <v>39</v>
      </c>
      <c r="S273" s="44" t="s">
        <v>39</v>
      </c>
      <c r="T273" s="44" t="s">
        <v>39</v>
      </c>
      <c r="U273" s="44" t="s">
        <v>39</v>
      </c>
      <c r="V273" s="44" t="s">
        <v>39</v>
      </c>
      <c r="W273" s="40" t="s">
        <v>36</v>
      </c>
      <c r="X273" s="39" t="s">
        <v>36</v>
      </c>
      <c r="Y273" s="39" t="s">
        <v>36</v>
      </c>
      <c r="Z273" s="44" t="s">
        <v>35</v>
      </c>
      <c r="AA273" s="44" t="s">
        <v>35</v>
      </c>
      <c r="AB273" s="44" t="s">
        <v>35</v>
      </c>
      <c r="AC273" s="44" t="s">
        <v>35</v>
      </c>
      <c r="AD273" s="44" t="s">
        <v>35</v>
      </c>
      <c r="AE273" s="39"/>
      <c r="AF273" s="39"/>
      <c r="AG273" s="44" t="s">
        <v>35</v>
      </c>
      <c r="AH273" s="44" t="s">
        <v>39</v>
      </c>
      <c r="AI273" s="37">
        <v>6</v>
      </c>
      <c r="AJ273" s="35">
        <f t="shared" si="263"/>
        <v>11</v>
      </c>
      <c r="AK273" s="35">
        <v>19</v>
      </c>
      <c r="AL273" s="35">
        <f t="shared" si="268"/>
        <v>57.5</v>
      </c>
      <c r="AM273" s="36">
        <f t="shared" si="264"/>
        <v>25.5</v>
      </c>
      <c r="AN273" s="36">
        <f t="shared" si="265"/>
        <v>0</v>
      </c>
      <c r="AO273" s="36">
        <f t="shared" si="266"/>
        <v>168</v>
      </c>
      <c r="AP273" s="36">
        <f t="shared" si="267"/>
        <v>251</v>
      </c>
      <c r="AQ273" s="36">
        <v>0</v>
      </c>
      <c r="AR273" s="36">
        <v>33.5</v>
      </c>
      <c r="AS273" s="36">
        <v>0</v>
      </c>
      <c r="AT273" s="36">
        <v>0</v>
      </c>
      <c r="AU273" s="36">
        <v>0</v>
      </c>
      <c r="AV273" s="36">
        <v>0</v>
      </c>
      <c r="AW273" s="36">
        <v>0</v>
      </c>
      <c r="AX273" s="36">
        <v>0</v>
      </c>
      <c r="AY273" s="36">
        <v>0</v>
      </c>
      <c r="AZ273" s="36">
        <v>0</v>
      </c>
    </row>
    <row r="274" s="24" customFormat="1" ht="21" customHeight="1" spans="1:52">
      <c r="A274" s="42"/>
      <c r="B274" s="43"/>
      <c r="C274" s="42"/>
      <c r="D274" s="37" t="s">
        <v>37</v>
      </c>
      <c r="E274" s="38">
        <v>3.5</v>
      </c>
      <c r="F274" s="38">
        <v>3.5</v>
      </c>
      <c r="G274" s="38">
        <v>4</v>
      </c>
      <c r="H274" s="38"/>
      <c r="I274" s="38"/>
      <c r="J274" s="39"/>
      <c r="K274" s="39"/>
      <c r="L274" s="38">
        <v>5.5</v>
      </c>
      <c r="M274" s="38">
        <v>4</v>
      </c>
      <c r="N274" s="38">
        <v>4</v>
      </c>
      <c r="O274" s="38">
        <v>6</v>
      </c>
      <c r="P274" s="38">
        <v>5</v>
      </c>
      <c r="Q274" s="39">
        <v>9</v>
      </c>
      <c r="R274" s="39">
        <v>6</v>
      </c>
      <c r="S274" s="38">
        <v>5</v>
      </c>
      <c r="T274" s="38">
        <v>5.5</v>
      </c>
      <c r="U274" s="38"/>
      <c r="V274" s="38"/>
      <c r="W274" s="40"/>
      <c r="X274" s="39"/>
      <c r="Y274" s="39"/>
      <c r="Z274" s="38"/>
      <c r="AA274" s="38">
        <v>2.5</v>
      </c>
      <c r="AB274" s="44">
        <v>1.5</v>
      </c>
      <c r="AC274" s="38">
        <v>3</v>
      </c>
      <c r="AD274" s="38"/>
      <c r="AE274" s="39">
        <v>5.5</v>
      </c>
      <c r="AF274" s="39">
        <v>5</v>
      </c>
      <c r="AG274" s="38">
        <v>4.5</v>
      </c>
      <c r="AH274" s="38"/>
      <c r="AI274" s="37">
        <v>5</v>
      </c>
      <c r="AJ274" s="43"/>
      <c r="AK274" s="43"/>
      <c r="AL274" s="43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</row>
    <row r="275" s="24" customFormat="1" ht="21" customHeight="1" spans="1:52">
      <c r="A275" s="36">
        <v>136</v>
      </c>
      <c r="B275" s="35" t="s">
        <v>32</v>
      </c>
      <c r="C275" s="36" t="s">
        <v>222</v>
      </c>
      <c r="D275" s="37" t="s">
        <v>34</v>
      </c>
      <c r="E275" s="44" t="s">
        <v>50</v>
      </c>
      <c r="F275" s="44" t="s">
        <v>50</v>
      </c>
      <c r="G275" s="44" t="s">
        <v>50</v>
      </c>
      <c r="H275" s="44" t="s">
        <v>50</v>
      </c>
      <c r="I275" s="44" t="s">
        <v>50</v>
      </c>
      <c r="J275" s="39" t="s">
        <v>36</v>
      </c>
      <c r="K275" s="39" t="s">
        <v>36</v>
      </c>
      <c r="L275" s="44" t="s">
        <v>50</v>
      </c>
      <c r="M275" s="44" t="s">
        <v>50</v>
      </c>
      <c r="N275" s="44" t="s">
        <v>50</v>
      </c>
      <c r="O275" s="44" t="s">
        <v>35</v>
      </c>
      <c r="P275" s="44" t="s">
        <v>35</v>
      </c>
      <c r="Q275" s="39"/>
      <c r="R275" s="39" t="s">
        <v>36</v>
      </c>
      <c r="S275" s="44" t="s">
        <v>35</v>
      </c>
      <c r="T275" s="44" t="s">
        <v>35</v>
      </c>
      <c r="U275" s="44" t="s">
        <v>215</v>
      </c>
      <c r="V275" s="44" t="s">
        <v>35</v>
      </c>
      <c r="W275" s="40" t="s">
        <v>36</v>
      </c>
      <c r="X275" s="39" t="s">
        <v>36</v>
      </c>
      <c r="Y275" s="39" t="s">
        <v>36</v>
      </c>
      <c r="Z275" s="44" t="s">
        <v>35</v>
      </c>
      <c r="AA275" s="44" t="s">
        <v>35</v>
      </c>
      <c r="AB275" s="44" t="s">
        <v>35</v>
      </c>
      <c r="AC275" s="44" t="s">
        <v>35</v>
      </c>
      <c r="AD275" s="44" t="s">
        <v>35</v>
      </c>
      <c r="AE275" s="39"/>
      <c r="AF275" s="39" t="s">
        <v>36</v>
      </c>
      <c r="AG275" s="44" t="s">
        <v>35</v>
      </c>
      <c r="AH275" s="44" t="s">
        <v>35</v>
      </c>
      <c r="AI275" s="37">
        <v>12</v>
      </c>
      <c r="AJ275" s="35">
        <f t="shared" ref="AJ275:AJ279" si="269">AI275+AI276</f>
        <v>21</v>
      </c>
      <c r="AK275" s="35">
        <v>0</v>
      </c>
      <c r="AL275" s="35">
        <f t="shared" si="268"/>
        <v>13</v>
      </c>
      <c r="AM275" s="36">
        <f t="shared" ref="AM275:AM279" si="270">J276+K276+Q276+R276+X276+Y276+AE276+AF276</f>
        <v>18.5</v>
      </c>
      <c r="AN275" s="36">
        <f t="shared" ref="AN275:AN279" si="271">W276</f>
        <v>0</v>
      </c>
      <c r="AO275" s="36">
        <f t="shared" ref="AO275:AO279" si="272">21*8</f>
        <v>168</v>
      </c>
      <c r="AP275" s="36">
        <f t="shared" ref="AP275:AP279" si="273">AL275+AM275+AN275+AO275-AQ275-AS275-AT275-AV275-AW275-AX275-AY275-AZ275-AU275</f>
        <v>132</v>
      </c>
      <c r="AQ275" s="36">
        <v>0</v>
      </c>
      <c r="AR275" s="36">
        <v>0</v>
      </c>
      <c r="AS275" s="36">
        <v>0</v>
      </c>
      <c r="AT275" s="36">
        <v>67.5</v>
      </c>
      <c r="AU275" s="36">
        <v>0</v>
      </c>
      <c r="AV275" s="36">
        <v>0</v>
      </c>
      <c r="AW275" s="36">
        <v>0</v>
      </c>
      <c r="AX275" s="36">
        <v>0</v>
      </c>
      <c r="AY275" s="36">
        <v>0</v>
      </c>
      <c r="AZ275" s="36">
        <v>0</v>
      </c>
    </row>
    <row r="276" s="24" customFormat="1" ht="21" customHeight="1" spans="1:52">
      <c r="A276" s="42"/>
      <c r="B276" s="43"/>
      <c r="C276" s="42"/>
      <c r="D276" s="37" t="s">
        <v>37</v>
      </c>
      <c r="E276" s="38"/>
      <c r="F276" s="38"/>
      <c r="G276" s="38"/>
      <c r="H276" s="38"/>
      <c r="I276" s="38"/>
      <c r="J276" s="39"/>
      <c r="K276" s="39"/>
      <c r="L276" s="38"/>
      <c r="M276" s="38"/>
      <c r="N276" s="38"/>
      <c r="O276" s="38"/>
      <c r="P276" s="38"/>
      <c r="Q276" s="39">
        <v>8</v>
      </c>
      <c r="R276" s="39"/>
      <c r="S276" s="44">
        <v>1.5</v>
      </c>
      <c r="T276" s="38"/>
      <c r="U276" s="38">
        <v>3</v>
      </c>
      <c r="V276" s="44">
        <v>1.5</v>
      </c>
      <c r="W276" s="40"/>
      <c r="X276" s="39"/>
      <c r="Y276" s="39"/>
      <c r="Z276" s="38">
        <v>4</v>
      </c>
      <c r="AA276" s="38"/>
      <c r="AB276" s="38"/>
      <c r="AC276" s="38"/>
      <c r="AD276" s="44">
        <v>1.5</v>
      </c>
      <c r="AE276" s="39">
        <v>10.5</v>
      </c>
      <c r="AF276" s="39"/>
      <c r="AG276" s="44">
        <v>1.5</v>
      </c>
      <c r="AH276" s="38"/>
      <c r="AI276" s="37">
        <v>9</v>
      </c>
      <c r="AJ276" s="43"/>
      <c r="AK276" s="43"/>
      <c r="AL276" s="43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</row>
    <row r="277" s="24" customFormat="1" ht="21" customHeight="1" spans="1:52">
      <c r="A277" s="36">
        <v>137</v>
      </c>
      <c r="B277" s="35" t="s">
        <v>32</v>
      </c>
      <c r="C277" s="36" t="s">
        <v>223</v>
      </c>
      <c r="D277" s="37" t="s">
        <v>34</v>
      </c>
      <c r="E277" s="44" t="s">
        <v>35</v>
      </c>
      <c r="F277" s="44" t="s">
        <v>35</v>
      </c>
      <c r="G277" s="44" t="s">
        <v>35</v>
      </c>
      <c r="H277" s="44" t="s">
        <v>35</v>
      </c>
      <c r="I277" s="44" t="s">
        <v>35</v>
      </c>
      <c r="J277" s="39"/>
      <c r="K277" s="39" t="s">
        <v>36</v>
      </c>
      <c r="L277" s="44" t="s">
        <v>35</v>
      </c>
      <c r="M277" s="44" t="s">
        <v>35</v>
      </c>
      <c r="N277" s="44" t="s">
        <v>35</v>
      </c>
      <c r="O277" s="44" t="s">
        <v>35</v>
      </c>
      <c r="P277" s="44" t="s">
        <v>35</v>
      </c>
      <c r="Q277" s="39"/>
      <c r="R277" s="39" t="s">
        <v>36</v>
      </c>
      <c r="S277" s="44" t="s">
        <v>35</v>
      </c>
      <c r="T277" s="44" t="s">
        <v>35</v>
      </c>
      <c r="U277" s="44" t="s">
        <v>35</v>
      </c>
      <c r="V277" s="44" t="s">
        <v>35</v>
      </c>
      <c r="W277" s="40" t="s">
        <v>36</v>
      </c>
      <c r="X277" s="39"/>
      <c r="Y277" s="39" t="s">
        <v>36</v>
      </c>
      <c r="Z277" s="44" t="s">
        <v>35</v>
      </c>
      <c r="AA277" s="44" t="s">
        <v>35</v>
      </c>
      <c r="AB277" s="44" t="s">
        <v>35</v>
      </c>
      <c r="AC277" s="44" t="s">
        <v>35</v>
      </c>
      <c r="AD277" s="44" t="s">
        <v>35</v>
      </c>
      <c r="AE277" s="39"/>
      <c r="AF277" s="39" t="s">
        <v>36</v>
      </c>
      <c r="AG277" s="44" t="s">
        <v>35</v>
      </c>
      <c r="AH277" s="44" t="s">
        <v>35</v>
      </c>
      <c r="AI277" s="37">
        <v>21</v>
      </c>
      <c r="AJ277" s="35">
        <f t="shared" si="269"/>
        <v>38</v>
      </c>
      <c r="AK277" s="35">
        <v>0</v>
      </c>
      <c r="AL277" s="35">
        <f t="shared" ref="AL277:AL281" si="274">E278+F278+G278+H278+I278+L278+M278+N278+O278+P278+S278+T278+U278+V278+Z278+AA278+AB278+AC278+AD278+AG278+AH278</f>
        <v>41</v>
      </c>
      <c r="AM277" s="36">
        <f t="shared" si="270"/>
        <v>18</v>
      </c>
      <c r="AN277" s="36">
        <f t="shared" si="271"/>
        <v>0</v>
      </c>
      <c r="AO277" s="36">
        <f t="shared" si="272"/>
        <v>168</v>
      </c>
      <c r="AP277" s="36">
        <f t="shared" si="273"/>
        <v>227</v>
      </c>
      <c r="AQ277" s="36">
        <v>0</v>
      </c>
      <c r="AR277" s="36">
        <v>40</v>
      </c>
      <c r="AS277" s="36">
        <v>0</v>
      </c>
      <c r="AT277" s="36">
        <v>0</v>
      </c>
      <c r="AU277" s="36">
        <v>0</v>
      </c>
      <c r="AV277" s="36">
        <v>0</v>
      </c>
      <c r="AW277" s="36">
        <v>0</v>
      </c>
      <c r="AX277" s="36">
        <v>0</v>
      </c>
      <c r="AY277" s="36">
        <v>0</v>
      </c>
      <c r="AZ277" s="36">
        <v>0</v>
      </c>
    </row>
    <row r="278" s="24" customFormat="1" ht="21" customHeight="1" spans="1:52">
      <c r="A278" s="42"/>
      <c r="B278" s="43"/>
      <c r="C278" s="42"/>
      <c r="D278" s="37" t="s">
        <v>37</v>
      </c>
      <c r="E278" s="38">
        <v>3.5</v>
      </c>
      <c r="F278" s="38"/>
      <c r="G278" s="38">
        <v>2.5</v>
      </c>
      <c r="H278" s="38"/>
      <c r="I278" s="38"/>
      <c r="J278" s="39">
        <v>3.5</v>
      </c>
      <c r="K278" s="39"/>
      <c r="L278" s="38">
        <v>2.5</v>
      </c>
      <c r="M278" s="38">
        <v>3</v>
      </c>
      <c r="N278" s="38">
        <v>3.5</v>
      </c>
      <c r="O278" s="38">
        <v>2.5</v>
      </c>
      <c r="P278" s="38"/>
      <c r="Q278" s="39">
        <v>3.5</v>
      </c>
      <c r="R278" s="39"/>
      <c r="S278" s="38">
        <v>2</v>
      </c>
      <c r="T278" s="38">
        <v>2.5</v>
      </c>
      <c r="U278" s="38">
        <v>2</v>
      </c>
      <c r="V278" s="44">
        <v>1.5</v>
      </c>
      <c r="W278" s="40"/>
      <c r="X278" s="39">
        <v>5.5</v>
      </c>
      <c r="Y278" s="39"/>
      <c r="Z278" s="38">
        <v>3</v>
      </c>
      <c r="AA278" s="38">
        <v>2.5</v>
      </c>
      <c r="AB278" s="38">
        <v>2.5</v>
      </c>
      <c r="AC278" s="38">
        <v>2</v>
      </c>
      <c r="AD278" s="38"/>
      <c r="AE278" s="39">
        <v>5.5</v>
      </c>
      <c r="AF278" s="39"/>
      <c r="AG278" s="38">
        <v>3</v>
      </c>
      <c r="AH278" s="38">
        <v>2.5</v>
      </c>
      <c r="AI278" s="37">
        <v>17</v>
      </c>
      <c r="AJ278" s="43"/>
      <c r="AK278" s="43"/>
      <c r="AL278" s="43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</row>
    <row r="279" s="24" customFormat="1" ht="21" customHeight="1" spans="1:52">
      <c r="A279" s="36">
        <v>138</v>
      </c>
      <c r="B279" s="35" t="s">
        <v>32</v>
      </c>
      <c r="C279" s="36" t="s">
        <v>224</v>
      </c>
      <c r="D279" s="37" t="s">
        <v>34</v>
      </c>
      <c r="E279" s="44" t="s">
        <v>35</v>
      </c>
      <c r="F279" s="44" t="s">
        <v>35</v>
      </c>
      <c r="G279" s="44" t="s">
        <v>35</v>
      </c>
      <c r="H279" s="44" t="s">
        <v>35</v>
      </c>
      <c r="I279" s="44" t="s">
        <v>35</v>
      </c>
      <c r="J279" s="39" t="s">
        <v>36</v>
      </c>
      <c r="K279" s="39" t="s">
        <v>36</v>
      </c>
      <c r="L279" s="44" t="s">
        <v>35</v>
      </c>
      <c r="M279" s="44" t="s">
        <v>35</v>
      </c>
      <c r="N279" s="44" t="s">
        <v>35</v>
      </c>
      <c r="O279" s="44" t="s">
        <v>35</v>
      </c>
      <c r="P279" s="44" t="s">
        <v>35</v>
      </c>
      <c r="Q279" s="39" t="s">
        <v>36</v>
      </c>
      <c r="R279" s="39" t="s">
        <v>36</v>
      </c>
      <c r="S279" s="44" t="s">
        <v>35</v>
      </c>
      <c r="T279" s="44" t="s">
        <v>35</v>
      </c>
      <c r="U279" s="44" t="s">
        <v>35</v>
      </c>
      <c r="V279" s="44" t="s">
        <v>35</v>
      </c>
      <c r="W279" s="40" t="s">
        <v>36</v>
      </c>
      <c r="X279" s="39" t="s">
        <v>36</v>
      </c>
      <c r="Y279" s="39" t="s">
        <v>36</v>
      </c>
      <c r="Z279" s="44" t="s">
        <v>35</v>
      </c>
      <c r="AA279" s="44" t="s">
        <v>35</v>
      </c>
      <c r="AB279" s="44" t="s">
        <v>35</v>
      </c>
      <c r="AC279" s="44" t="s">
        <v>35</v>
      </c>
      <c r="AD279" s="44" t="s">
        <v>35</v>
      </c>
      <c r="AE279" s="39" t="s">
        <v>36</v>
      </c>
      <c r="AF279" s="39" t="s">
        <v>36</v>
      </c>
      <c r="AG279" s="44" t="s">
        <v>35</v>
      </c>
      <c r="AH279" s="44" t="s">
        <v>35</v>
      </c>
      <c r="AI279" s="37">
        <v>21</v>
      </c>
      <c r="AJ279" s="35">
        <f t="shared" si="269"/>
        <v>21</v>
      </c>
      <c r="AK279" s="35">
        <v>0</v>
      </c>
      <c r="AL279" s="35">
        <f t="shared" si="274"/>
        <v>0</v>
      </c>
      <c r="AM279" s="36">
        <f t="shared" si="270"/>
        <v>0</v>
      </c>
      <c r="AN279" s="36">
        <f t="shared" si="271"/>
        <v>0</v>
      </c>
      <c r="AO279" s="36">
        <f t="shared" si="272"/>
        <v>168</v>
      </c>
      <c r="AP279" s="36">
        <f t="shared" si="273"/>
        <v>168</v>
      </c>
      <c r="AQ279" s="36">
        <v>0</v>
      </c>
      <c r="AR279" s="36">
        <v>0</v>
      </c>
      <c r="AS279" s="36">
        <v>0</v>
      </c>
      <c r="AT279" s="36">
        <v>0</v>
      </c>
      <c r="AU279" s="36">
        <v>0</v>
      </c>
      <c r="AV279" s="36">
        <v>0</v>
      </c>
      <c r="AW279" s="36">
        <v>0</v>
      </c>
      <c r="AX279" s="36">
        <v>0</v>
      </c>
      <c r="AY279" s="36">
        <v>0</v>
      </c>
      <c r="AZ279" s="36">
        <v>0</v>
      </c>
    </row>
    <row r="280" s="24" customFormat="1" ht="21" customHeight="1" spans="1:52">
      <c r="A280" s="42"/>
      <c r="B280" s="43"/>
      <c r="C280" s="42"/>
      <c r="D280" s="37" t="s">
        <v>37</v>
      </c>
      <c r="E280" s="38"/>
      <c r="F280" s="38"/>
      <c r="G280" s="38"/>
      <c r="H280" s="38"/>
      <c r="I280" s="38"/>
      <c r="J280" s="39"/>
      <c r="K280" s="39"/>
      <c r="L280" s="38"/>
      <c r="M280" s="38"/>
      <c r="N280" s="38"/>
      <c r="O280" s="38"/>
      <c r="P280" s="38"/>
      <c r="Q280" s="39"/>
      <c r="R280" s="39"/>
      <c r="S280" s="38"/>
      <c r="T280" s="38"/>
      <c r="U280" s="38"/>
      <c r="V280" s="38"/>
      <c r="W280" s="40"/>
      <c r="X280" s="39"/>
      <c r="Y280" s="39"/>
      <c r="Z280" s="38"/>
      <c r="AA280" s="38"/>
      <c r="AB280" s="38"/>
      <c r="AC280" s="38"/>
      <c r="AD280" s="38"/>
      <c r="AE280" s="39"/>
      <c r="AF280" s="39"/>
      <c r="AG280" s="38"/>
      <c r="AH280" s="38"/>
      <c r="AI280" s="37">
        <v>0</v>
      </c>
      <c r="AJ280" s="43"/>
      <c r="AK280" s="43"/>
      <c r="AL280" s="43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</row>
    <row r="281" s="24" customFormat="1" ht="21" customHeight="1" spans="1:52">
      <c r="A281" s="36">
        <v>139</v>
      </c>
      <c r="B281" s="35" t="s">
        <v>32</v>
      </c>
      <c r="C281" s="36" t="s">
        <v>33</v>
      </c>
      <c r="D281" s="37" t="s">
        <v>34</v>
      </c>
      <c r="E281" s="44" t="s">
        <v>35</v>
      </c>
      <c r="F281" s="44" t="s">
        <v>225</v>
      </c>
      <c r="G281" s="44" t="s">
        <v>35</v>
      </c>
      <c r="H281" s="44" t="s">
        <v>35</v>
      </c>
      <c r="I281" s="44" t="s">
        <v>35</v>
      </c>
      <c r="J281" s="39" t="s">
        <v>36</v>
      </c>
      <c r="K281" s="39" t="s">
        <v>36</v>
      </c>
      <c r="L281" s="44" t="s">
        <v>35</v>
      </c>
      <c r="M281" s="44" t="s">
        <v>35</v>
      </c>
      <c r="N281" s="44" t="s">
        <v>35</v>
      </c>
      <c r="O281" s="44" t="s">
        <v>35</v>
      </c>
      <c r="P281" s="44" t="s">
        <v>35</v>
      </c>
      <c r="Q281" s="39"/>
      <c r="R281" s="39" t="s">
        <v>36</v>
      </c>
      <c r="S281" s="44" t="s">
        <v>35</v>
      </c>
      <c r="T281" s="44" t="s">
        <v>35</v>
      </c>
      <c r="U281" s="44" t="s">
        <v>35</v>
      </c>
      <c r="V281" s="44" t="s">
        <v>35</v>
      </c>
      <c r="W281" s="40" t="s">
        <v>36</v>
      </c>
      <c r="X281" s="39" t="s">
        <v>36</v>
      </c>
      <c r="Y281" s="39" t="s">
        <v>36</v>
      </c>
      <c r="Z281" s="44" t="s">
        <v>35</v>
      </c>
      <c r="AA281" s="44" t="s">
        <v>35</v>
      </c>
      <c r="AB281" s="44" t="s">
        <v>35</v>
      </c>
      <c r="AC281" s="44" t="s">
        <v>35</v>
      </c>
      <c r="AD281" s="44" t="s">
        <v>35</v>
      </c>
      <c r="AE281" s="39" t="s">
        <v>36</v>
      </c>
      <c r="AF281" s="39" t="s">
        <v>36</v>
      </c>
      <c r="AG281" s="44" t="s">
        <v>35</v>
      </c>
      <c r="AH281" s="44" t="s">
        <v>35</v>
      </c>
      <c r="AI281" s="37">
        <v>21</v>
      </c>
      <c r="AJ281" s="35">
        <f t="shared" ref="AJ281:AJ285" si="275">AI281+AI282</f>
        <v>37</v>
      </c>
      <c r="AK281" s="35">
        <v>0</v>
      </c>
      <c r="AL281" s="35">
        <f t="shared" si="274"/>
        <v>31</v>
      </c>
      <c r="AM281" s="36">
        <f t="shared" ref="AM281:AM285" si="276">J282+K282+Q282+R282+X282+Y282+AE282+AF282</f>
        <v>4</v>
      </c>
      <c r="AN281" s="36">
        <f t="shared" ref="AN281:AN285" si="277">W282</f>
        <v>0</v>
      </c>
      <c r="AO281" s="36">
        <f t="shared" ref="AO281:AO285" si="278">21*8</f>
        <v>168</v>
      </c>
      <c r="AP281" s="36">
        <f t="shared" ref="AP281:AP285" si="279">AL281+AM281+AN281+AO281-AQ281-AS281-AT281-AV281-AW281-AX281-AY281-AZ281-AU281</f>
        <v>202.5</v>
      </c>
      <c r="AQ281" s="36">
        <v>0.5</v>
      </c>
      <c r="AR281" s="36">
        <f>36.5-AQ281</f>
        <v>36</v>
      </c>
      <c r="AS281" s="36">
        <v>0</v>
      </c>
      <c r="AT281" s="36">
        <v>0</v>
      </c>
      <c r="AU281" s="36">
        <v>0</v>
      </c>
      <c r="AV281" s="36">
        <v>0</v>
      </c>
      <c r="AW281" s="36">
        <v>0</v>
      </c>
      <c r="AX281" s="36">
        <v>0</v>
      </c>
      <c r="AY281" s="36">
        <v>0</v>
      </c>
      <c r="AZ281" s="36">
        <v>0</v>
      </c>
    </row>
    <row r="282" s="24" customFormat="1" ht="21" customHeight="1" spans="1:52">
      <c r="A282" s="42"/>
      <c r="B282" s="43"/>
      <c r="C282" s="42"/>
      <c r="D282" s="37" t="s">
        <v>37</v>
      </c>
      <c r="E282" s="38">
        <v>2</v>
      </c>
      <c r="F282" s="38">
        <v>2.5</v>
      </c>
      <c r="G282" s="44">
        <v>1.5</v>
      </c>
      <c r="H282" s="44">
        <v>1.5</v>
      </c>
      <c r="I282" s="38"/>
      <c r="J282" s="39"/>
      <c r="K282" s="39"/>
      <c r="L282" s="44">
        <v>1.5</v>
      </c>
      <c r="M282" s="38">
        <v>1</v>
      </c>
      <c r="N282" s="44">
        <v>1.5</v>
      </c>
      <c r="O282" s="44">
        <v>1.5</v>
      </c>
      <c r="P282" s="44">
        <v>1.5</v>
      </c>
      <c r="Q282" s="39">
        <v>4</v>
      </c>
      <c r="R282" s="39"/>
      <c r="S282" s="38">
        <v>2</v>
      </c>
      <c r="T282" s="38">
        <v>2</v>
      </c>
      <c r="U282" s="38">
        <v>2</v>
      </c>
      <c r="V282" s="38">
        <v>1</v>
      </c>
      <c r="W282" s="40"/>
      <c r="X282" s="39"/>
      <c r="Y282" s="39"/>
      <c r="Z282" s="38">
        <v>2</v>
      </c>
      <c r="AA282" s="38">
        <v>2</v>
      </c>
      <c r="AB282" s="38">
        <v>1.5</v>
      </c>
      <c r="AC282" s="38"/>
      <c r="AD282" s="38"/>
      <c r="AE282" s="39"/>
      <c r="AF282" s="39"/>
      <c r="AG282" s="38">
        <v>2.5</v>
      </c>
      <c r="AH282" s="44">
        <v>1.5</v>
      </c>
      <c r="AI282" s="37">
        <v>16</v>
      </c>
      <c r="AJ282" s="43"/>
      <c r="AK282" s="43"/>
      <c r="AL282" s="43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</row>
    <row r="283" s="24" customFormat="1" ht="21" customHeight="1" spans="1:52">
      <c r="A283" s="36">
        <v>140</v>
      </c>
      <c r="B283" s="35" t="s">
        <v>32</v>
      </c>
      <c r="C283" s="36" t="s">
        <v>226</v>
      </c>
      <c r="D283" s="37" t="s">
        <v>34</v>
      </c>
      <c r="E283" s="44" t="s">
        <v>35</v>
      </c>
      <c r="F283" s="44" t="s">
        <v>35</v>
      </c>
      <c r="G283" s="44" t="s">
        <v>35</v>
      </c>
      <c r="H283" s="44" t="s">
        <v>35</v>
      </c>
      <c r="I283" s="44" t="s">
        <v>35</v>
      </c>
      <c r="J283" s="39" t="s">
        <v>36</v>
      </c>
      <c r="K283" s="39" t="s">
        <v>36</v>
      </c>
      <c r="L283" s="44" t="s">
        <v>35</v>
      </c>
      <c r="M283" s="44" t="s">
        <v>39</v>
      </c>
      <c r="N283" s="44" t="s">
        <v>39</v>
      </c>
      <c r="O283" s="44" t="s">
        <v>39</v>
      </c>
      <c r="P283" s="44" t="s">
        <v>39</v>
      </c>
      <c r="Q283" s="39" t="s">
        <v>36</v>
      </c>
      <c r="R283" s="39" t="s">
        <v>36</v>
      </c>
      <c r="S283" s="44" t="s">
        <v>35</v>
      </c>
      <c r="T283" s="44" t="s">
        <v>129</v>
      </c>
      <c r="U283" s="44" t="s">
        <v>39</v>
      </c>
      <c r="V283" s="44" t="s">
        <v>39</v>
      </c>
      <c r="W283" s="40" t="s">
        <v>36</v>
      </c>
      <c r="X283" s="39" t="s">
        <v>36</v>
      </c>
      <c r="Y283" s="39" t="s">
        <v>36</v>
      </c>
      <c r="Z283" s="44" t="s">
        <v>167</v>
      </c>
      <c r="AA283" s="44" t="s">
        <v>35</v>
      </c>
      <c r="AB283" s="44" t="s">
        <v>39</v>
      </c>
      <c r="AC283" s="44" t="s">
        <v>39</v>
      </c>
      <c r="AD283" s="44" t="s">
        <v>39</v>
      </c>
      <c r="AE283" s="39" t="s">
        <v>36</v>
      </c>
      <c r="AF283" s="39" t="s">
        <v>36</v>
      </c>
      <c r="AG283" s="44" t="s">
        <v>35</v>
      </c>
      <c r="AH283" s="44" t="s">
        <v>39</v>
      </c>
      <c r="AI283" s="37">
        <v>9</v>
      </c>
      <c r="AJ283" s="35">
        <f t="shared" si="275"/>
        <v>9</v>
      </c>
      <c r="AK283" s="35">
        <v>10</v>
      </c>
      <c r="AL283" s="35">
        <f t="shared" ref="AL283:AL287" si="280">E284+F284+G284+H284+I284+L284+M284+N284+O284+P284+S284+T284+U284+V284+Z284+AA284+AB284+AC284+AD284+AG284+AH284</f>
        <v>0</v>
      </c>
      <c r="AM283" s="36">
        <f t="shared" si="276"/>
        <v>0</v>
      </c>
      <c r="AN283" s="36">
        <f t="shared" si="277"/>
        <v>0</v>
      </c>
      <c r="AO283" s="36">
        <f t="shared" si="278"/>
        <v>168</v>
      </c>
      <c r="AP283" s="36">
        <f t="shared" si="279"/>
        <v>156.5</v>
      </c>
      <c r="AQ283" s="36">
        <v>3.5</v>
      </c>
      <c r="AR283" s="36">
        <f>39.5-AQ283</f>
        <v>36</v>
      </c>
      <c r="AS283" s="36">
        <v>0</v>
      </c>
      <c r="AT283" s="36">
        <v>0</v>
      </c>
      <c r="AU283" s="36">
        <v>0</v>
      </c>
      <c r="AV283" s="36">
        <v>0</v>
      </c>
      <c r="AW283" s="36">
        <v>0</v>
      </c>
      <c r="AX283" s="36">
        <v>0</v>
      </c>
      <c r="AY283" s="36">
        <v>8</v>
      </c>
      <c r="AZ283" s="36">
        <v>0</v>
      </c>
    </row>
    <row r="284" s="24" customFormat="1" ht="21" customHeight="1" spans="1:52">
      <c r="A284" s="42"/>
      <c r="B284" s="43"/>
      <c r="C284" s="42"/>
      <c r="D284" s="37" t="s">
        <v>37</v>
      </c>
      <c r="E284" s="38"/>
      <c r="F284" s="38"/>
      <c r="G284" s="38"/>
      <c r="H284" s="38"/>
      <c r="I284" s="38"/>
      <c r="J284" s="39"/>
      <c r="K284" s="39"/>
      <c r="L284" s="38"/>
      <c r="M284" s="38"/>
      <c r="N284" s="38"/>
      <c r="O284" s="38"/>
      <c r="P284" s="38"/>
      <c r="Q284" s="39"/>
      <c r="R284" s="39"/>
      <c r="S284" s="38"/>
      <c r="T284" s="38"/>
      <c r="U284" s="38"/>
      <c r="V284" s="38"/>
      <c r="W284" s="40"/>
      <c r="X284" s="39"/>
      <c r="Y284" s="39"/>
      <c r="Z284" s="38"/>
      <c r="AA284" s="38"/>
      <c r="AB284" s="38"/>
      <c r="AC284" s="38"/>
      <c r="AD284" s="38"/>
      <c r="AE284" s="39"/>
      <c r="AF284" s="39"/>
      <c r="AG284" s="38"/>
      <c r="AH284" s="38"/>
      <c r="AI284" s="37">
        <v>0</v>
      </c>
      <c r="AJ284" s="43"/>
      <c r="AK284" s="43"/>
      <c r="AL284" s="43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</row>
    <row r="285" s="24" customFormat="1" ht="21" customHeight="1" spans="1:52">
      <c r="A285" s="36">
        <v>141</v>
      </c>
      <c r="B285" s="35" t="s">
        <v>32</v>
      </c>
      <c r="C285" s="36" t="s">
        <v>227</v>
      </c>
      <c r="D285" s="37" t="s">
        <v>34</v>
      </c>
      <c r="E285" s="44" t="s">
        <v>35</v>
      </c>
      <c r="F285" s="44" t="s">
        <v>35</v>
      </c>
      <c r="G285" s="44" t="s">
        <v>35</v>
      </c>
      <c r="H285" s="44" t="s">
        <v>35</v>
      </c>
      <c r="I285" s="44" t="s">
        <v>39</v>
      </c>
      <c r="J285" s="39" t="s">
        <v>36</v>
      </c>
      <c r="K285" s="39" t="s">
        <v>36</v>
      </c>
      <c r="L285" s="44" t="s">
        <v>35</v>
      </c>
      <c r="M285" s="44" t="s">
        <v>35</v>
      </c>
      <c r="N285" s="44" t="s">
        <v>35</v>
      </c>
      <c r="O285" s="44" t="s">
        <v>35</v>
      </c>
      <c r="P285" s="44" t="s">
        <v>35</v>
      </c>
      <c r="Q285" s="39" t="s">
        <v>36</v>
      </c>
      <c r="R285" s="39" t="s">
        <v>36</v>
      </c>
      <c r="S285" s="44" t="s">
        <v>35</v>
      </c>
      <c r="T285" s="44" t="s">
        <v>35</v>
      </c>
      <c r="U285" s="44" t="s">
        <v>39</v>
      </c>
      <c r="V285" s="44" t="s">
        <v>39</v>
      </c>
      <c r="W285" s="40" t="s">
        <v>36</v>
      </c>
      <c r="X285" s="39" t="s">
        <v>36</v>
      </c>
      <c r="Y285" s="39" t="s">
        <v>36</v>
      </c>
      <c r="Z285" s="44" t="s">
        <v>35</v>
      </c>
      <c r="AA285" s="44" t="s">
        <v>35</v>
      </c>
      <c r="AB285" s="44" t="s">
        <v>35</v>
      </c>
      <c r="AC285" s="44" t="s">
        <v>35</v>
      </c>
      <c r="AD285" s="44" t="s">
        <v>35</v>
      </c>
      <c r="AE285" s="39" t="s">
        <v>36</v>
      </c>
      <c r="AF285" s="39" t="s">
        <v>36</v>
      </c>
      <c r="AG285" s="44" t="s">
        <v>35</v>
      </c>
      <c r="AH285" s="44" t="s">
        <v>35</v>
      </c>
      <c r="AI285" s="37">
        <v>18</v>
      </c>
      <c r="AJ285" s="35">
        <f t="shared" si="275"/>
        <v>18</v>
      </c>
      <c r="AK285" s="35">
        <v>3</v>
      </c>
      <c r="AL285" s="35">
        <f t="shared" si="280"/>
        <v>3.5</v>
      </c>
      <c r="AM285" s="36">
        <f t="shared" si="276"/>
        <v>0</v>
      </c>
      <c r="AN285" s="36">
        <f t="shared" si="277"/>
        <v>0</v>
      </c>
      <c r="AO285" s="36">
        <f t="shared" si="278"/>
        <v>168</v>
      </c>
      <c r="AP285" s="36">
        <f t="shared" si="279"/>
        <v>171.5</v>
      </c>
      <c r="AQ285" s="36">
        <v>0</v>
      </c>
      <c r="AR285" s="66">
        <v>38</v>
      </c>
      <c r="AS285" s="36">
        <v>0</v>
      </c>
      <c r="AT285" s="36">
        <v>0</v>
      </c>
      <c r="AU285" s="36">
        <v>0</v>
      </c>
      <c r="AV285" s="36">
        <v>0</v>
      </c>
      <c r="AW285" s="36">
        <v>0</v>
      </c>
      <c r="AX285" s="36">
        <v>0</v>
      </c>
      <c r="AY285" s="36">
        <v>0</v>
      </c>
      <c r="AZ285" s="36">
        <v>0</v>
      </c>
    </row>
    <row r="286" s="24" customFormat="1" ht="21" customHeight="1" spans="1:52">
      <c r="A286" s="42"/>
      <c r="B286" s="43"/>
      <c r="C286" s="42"/>
      <c r="D286" s="37" t="s">
        <v>37</v>
      </c>
      <c r="E286" s="38"/>
      <c r="F286" s="38"/>
      <c r="G286" s="38"/>
      <c r="H286" s="38">
        <v>1</v>
      </c>
      <c r="I286" s="38"/>
      <c r="J286" s="39"/>
      <c r="K286" s="39"/>
      <c r="L286" s="38"/>
      <c r="M286" s="38"/>
      <c r="N286" s="38"/>
      <c r="O286" s="38"/>
      <c r="P286" s="38"/>
      <c r="Q286" s="39"/>
      <c r="R286" s="39"/>
      <c r="S286" s="38"/>
      <c r="T286" s="38"/>
      <c r="U286" s="38"/>
      <c r="V286" s="38"/>
      <c r="W286" s="40"/>
      <c r="X286" s="39"/>
      <c r="Y286" s="39"/>
      <c r="Z286" s="38"/>
      <c r="AA286" s="38"/>
      <c r="AB286" s="38">
        <v>1</v>
      </c>
      <c r="AC286" s="38"/>
      <c r="AD286" s="38"/>
      <c r="AE286" s="39"/>
      <c r="AF286" s="39"/>
      <c r="AG286" s="38"/>
      <c r="AH286" s="38">
        <v>1.5</v>
      </c>
      <c r="AI286" s="37">
        <v>0</v>
      </c>
      <c r="AJ286" s="43"/>
      <c r="AK286" s="43"/>
      <c r="AL286" s="43"/>
      <c r="AM286" s="42"/>
      <c r="AN286" s="42"/>
      <c r="AO286" s="42"/>
      <c r="AP286" s="42"/>
      <c r="AQ286" s="42"/>
      <c r="AR286" s="67"/>
      <c r="AS286" s="42"/>
      <c r="AT286" s="42"/>
      <c r="AU286" s="42"/>
      <c r="AV286" s="42"/>
      <c r="AW286" s="42"/>
      <c r="AX286" s="42"/>
      <c r="AY286" s="42"/>
      <c r="AZ286" s="42"/>
    </row>
    <row r="287" s="24" customFormat="1" ht="21" customHeight="1" spans="1:52">
      <c r="A287" s="36">
        <v>142</v>
      </c>
      <c r="B287" s="35" t="s">
        <v>32</v>
      </c>
      <c r="C287" s="36" t="s">
        <v>228</v>
      </c>
      <c r="D287" s="37" t="s">
        <v>34</v>
      </c>
      <c r="E287" s="44" t="s">
        <v>35</v>
      </c>
      <c r="F287" s="44" t="s">
        <v>35</v>
      </c>
      <c r="G287" s="44" t="s">
        <v>35</v>
      </c>
      <c r="H287" s="44" t="s">
        <v>35</v>
      </c>
      <c r="I287" s="44" t="s">
        <v>35</v>
      </c>
      <c r="J287" s="39"/>
      <c r="K287" s="39"/>
      <c r="L287" s="44" t="s">
        <v>35</v>
      </c>
      <c r="M287" s="44" t="s">
        <v>35</v>
      </c>
      <c r="N287" s="44" t="s">
        <v>35</v>
      </c>
      <c r="O287" s="44" t="s">
        <v>35</v>
      </c>
      <c r="P287" s="44" t="s">
        <v>35</v>
      </c>
      <c r="Q287" s="39"/>
      <c r="R287" s="39"/>
      <c r="S287" s="44" t="s">
        <v>35</v>
      </c>
      <c r="T287" s="44" t="s">
        <v>39</v>
      </c>
      <c r="U287" s="44" t="s">
        <v>39</v>
      </c>
      <c r="V287" s="44" t="s">
        <v>35</v>
      </c>
      <c r="W287" s="40" t="s">
        <v>36</v>
      </c>
      <c r="X287" s="39"/>
      <c r="Y287" s="39" t="s">
        <v>36</v>
      </c>
      <c r="Z287" s="44" t="s">
        <v>35</v>
      </c>
      <c r="AA287" s="44" t="s">
        <v>35</v>
      </c>
      <c r="AB287" s="44" t="s">
        <v>35</v>
      </c>
      <c r="AC287" s="44" t="s">
        <v>35</v>
      </c>
      <c r="AD287" s="44" t="s">
        <v>35</v>
      </c>
      <c r="AE287" s="39" t="s">
        <v>36</v>
      </c>
      <c r="AF287" s="39"/>
      <c r="AG287" s="44" t="s">
        <v>39</v>
      </c>
      <c r="AH287" s="44" t="s">
        <v>39</v>
      </c>
      <c r="AI287" s="37">
        <v>17</v>
      </c>
      <c r="AJ287" s="35">
        <f t="shared" ref="AJ287:AJ291" si="281">AI287+AI288</f>
        <v>37</v>
      </c>
      <c r="AK287" s="35">
        <v>4</v>
      </c>
      <c r="AL287" s="35">
        <f t="shared" si="280"/>
        <v>55</v>
      </c>
      <c r="AM287" s="36">
        <f t="shared" ref="AM287:AM291" si="282">J288+K288+Q288+R288+X288+Y288+AE288+AF288</f>
        <v>44.5</v>
      </c>
      <c r="AN287" s="36">
        <f t="shared" ref="AN287:AN291" si="283">W288</f>
        <v>0</v>
      </c>
      <c r="AO287" s="36">
        <f t="shared" ref="AO287:AO291" si="284">21*8</f>
        <v>168</v>
      </c>
      <c r="AP287" s="36">
        <f t="shared" ref="AP287:AP291" si="285">AL287+AM287+AN287+AO287-AQ287-AS287-AT287-AV287-AW287-AX287-AY287-AZ287-AU287</f>
        <v>267.5</v>
      </c>
      <c r="AQ287" s="36">
        <v>0</v>
      </c>
      <c r="AR287" s="66">
        <v>33</v>
      </c>
      <c r="AS287" s="36">
        <v>0</v>
      </c>
      <c r="AT287" s="36">
        <v>0</v>
      </c>
      <c r="AU287" s="36">
        <v>0</v>
      </c>
      <c r="AV287" s="36">
        <v>0</v>
      </c>
      <c r="AW287" s="36">
        <v>0</v>
      </c>
      <c r="AX287" s="36">
        <v>0</v>
      </c>
      <c r="AY287" s="36">
        <v>0</v>
      </c>
      <c r="AZ287" s="36">
        <v>0</v>
      </c>
    </row>
    <row r="288" s="24" customFormat="1" ht="21" customHeight="1" spans="1:52">
      <c r="A288" s="42"/>
      <c r="B288" s="43"/>
      <c r="C288" s="42"/>
      <c r="D288" s="37" t="s">
        <v>37</v>
      </c>
      <c r="E288" s="38">
        <v>3.5</v>
      </c>
      <c r="F288" s="38">
        <v>4</v>
      </c>
      <c r="G288" s="38">
        <v>4</v>
      </c>
      <c r="H288" s="38">
        <v>4</v>
      </c>
      <c r="I288" s="38"/>
      <c r="J288" s="39">
        <v>10.5</v>
      </c>
      <c r="K288" s="39">
        <v>8.5</v>
      </c>
      <c r="L288" s="38">
        <v>4.5</v>
      </c>
      <c r="M288" s="38">
        <v>3</v>
      </c>
      <c r="N288" s="38">
        <v>4.5</v>
      </c>
      <c r="O288" s="38">
        <v>4</v>
      </c>
      <c r="P288" s="38">
        <v>2.5</v>
      </c>
      <c r="Q288" s="39">
        <v>7</v>
      </c>
      <c r="R288" s="39">
        <v>6</v>
      </c>
      <c r="S288" s="38">
        <v>4.5</v>
      </c>
      <c r="T288" s="38"/>
      <c r="U288" s="38">
        <v>5</v>
      </c>
      <c r="V288" s="38"/>
      <c r="W288" s="40"/>
      <c r="X288" s="39">
        <v>5</v>
      </c>
      <c r="Y288" s="39"/>
      <c r="Z288" s="38">
        <v>2</v>
      </c>
      <c r="AA288" s="38">
        <v>2.5</v>
      </c>
      <c r="AB288" s="38">
        <v>2</v>
      </c>
      <c r="AC288" s="38">
        <v>2.5</v>
      </c>
      <c r="AD288" s="38"/>
      <c r="AE288" s="39"/>
      <c r="AF288" s="39">
        <v>7.5</v>
      </c>
      <c r="AG288" s="38">
        <v>2.5</v>
      </c>
      <c r="AH288" s="38"/>
      <c r="AI288" s="37">
        <v>20</v>
      </c>
      <c r="AJ288" s="43"/>
      <c r="AK288" s="43"/>
      <c r="AL288" s="43"/>
      <c r="AM288" s="42"/>
      <c r="AN288" s="42"/>
      <c r="AO288" s="42"/>
      <c r="AP288" s="42"/>
      <c r="AQ288" s="42"/>
      <c r="AR288" s="67"/>
      <c r="AS288" s="42"/>
      <c r="AT288" s="42"/>
      <c r="AU288" s="42"/>
      <c r="AV288" s="42"/>
      <c r="AW288" s="42"/>
      <c r="AX288" s="42"/>
      <c r="AY288" s="42"/>
      <c r="AZ288" s="42"/>
    </row>
    <row r="289" s="24" customFormat="1" ht="21" customHeight="1" spans="1:52">
      <c r="A289" s="36">
        <v>143</v>
      </c>
      <c r="B289" s="35" t="s">
        <v>32</v>
      </c>
      <c r="C289" s="36" t="s">
        <v>229</v>
      </c>
      <c r="D289" s="37" t="s">
        <v>34</v>
      </c>
      <c r="E289" s="44" t="s">
        <v>35</v>
      </c>
      <c r="F289" s="44" t="s">
        <v>35</v>
      </c>
      <c r="G289" s="44" t="s">
        <v>35</v>
      </c>
      <c r="H289" s="44" t="s">
        <v>35</v>
      </c>
      <c r="I289" s="44" t="s">
        <v>35</v>
      </c>
      <c r="J289" s="39" t="s">
        <v>36</v>
      </c>
      <c r="K289" s="39" t="s">
        <v>36</v>
      </c>
      <c r="L289" s="44" t="s">
        <v>35</v>
      </c>
      <c r="M289" s="44" t="s">
        <v>35</v>
      </c>
      <c r="N289" s="44" t="s">
        <v>35</v>
      </c>
      <c r="O289" s="44" t="s">
        <v>35</v>
      </c>
      <c r="P289" s="44" t="s">
        <v>35</v>
      </c>
      <c r="Q289" s="39"/>
      <c r="R289" s="39" t="s">
        <v>36</v>
      </c>
      <c r="S289" s="44" t="s">
        <v>50</v>
      </c>
      <c r="T289" s="44" t="s">
        <v>50</v>
      </c>
      <c r="U289" s="44" t="s">
        <v>50</v>
      </c>
      <c r="V289" s="44" t="s">
        <v>50</v>
      </c>
      <c r="W289" s="40" t="s">
        <v>36</v>
      </c>
      <c r="X289" s="39" t="s">
        <v>36</v>
      </c>
      <c r="Y289" s="39" t="s">
        <v>36</v>
      </c>
      <c r="Z289" s="44" t="s">
        <v>35</v>
      </c>
      <c r="AA289" s="44" t="s">
        <v>35</v>
      </c>
      <c r="AB289" s="44" t="s">
        <v>35</v>
      </c>
      <c r="AC289" s="44" t="s">
        <v>35</v>
      </c>
      <c r="AD289" s="44" t="s">
        <v>35</v>
      </c>
      <c r="AE289" s="39"/>
      <c r="AF289" s="39" t="s">
        <v>36</v>
      </c>
      <c r="AG289" s="44" t="s">
        <v>35</v>
      </c>
      <c r="AH289" s="44" t="s">
        <v>35</v>
      </c>
      <c r="AI289" s="37">
        <v>17</v>
      </c>
      <c r="AJ289" s="35">
        <f t="shared" si="281"/>
        <v>30</v>
      </c>
      <c r="AK289" s="35">
        <v>0</v>
      </c>
      <c r="AL289" s="35">
        <f t="shared" ref="AL289:AL293" si="286">E290+F290+G290+H290+I290+L290+M290+N290+O290+P290+S290+T290+U290+V290+Z290+AA290+AB290+AC290+AD290+AG290+AH290</f>
        <v>18</v>
      </c>
      <c r="AM289" s="36">
        <f t="shared" si="282"/>
        <v>18.5</v>
      </c>
      <c r="AN289" s="36">
        <f t="shared" si="283"/>
        <v>0</v>
      </c>
      <c r="AO289" s="36">
        <f t="shared" si="284"/>
        <v>168</v>
      </c>
      <c r="AP289" s="36">
        <f t="shared" si="285"/>
        <v>172.5</v>
      </c>
      <c r="AQ289" s="36">
        <v>0</v>
      </c>
      <c r="AR289" s="66">
        <v>0</v>
      </c>
      <c r="AS289" s="36">
        <v>0</v>
      </c>
      <c r="AT289" s="36">
        <v>32</v>
      </c>
      <c r="AU289" s="36">
        <v>0</v>
      </c>
      <c r="AV289" s="36">
        <v>0</v>
      </c>
      <c r="AW289" s="36">
        <v>0</v>
      </c>
      <c r="AX289" s="36">
        <v>0</v>
      </c>
      <c r="AY289" s="36">
        <v>0</v>
      </c>
      <c r="AZ289" s="36">
        <v>0</v>
      </c>
    </row>
    <row r="290" s="24" customFormat="1" ht="21" customHeight="1" spans="1:52">
      <c r="A290" s="42"/>
      <c r="B290" s="43"/>
      <c r="C290" s="42"/>
      <c r="D290" s="37" t="s">
        <v>37</v>
      </c>
      <c r="E290" s="38"/>
      <c r="F290" s="38"/>
      <c r="G290" s="38"/>
      <c r="H290" s="38"/>
      <c r="I290" s="38"/>
      <c r="J290" s="39"/>
      <c r="K290" s="39"/>
      <c r="L290" s="38">
        <v>2</v>
      </c>
      <c r="M290" s="38">
        <v>2.5</v>
      </c>
      <c r="N290" s="38">
        <v>2</v>
      </c>
      <c r="O290" s="38">
        <v>2</v>
      </c>
      <c r="P290" s="38">
        <v>2</v>
      </c>
      <c r="Q290" s="39">
        <v>10</v>
      </c>
      <c r="R290" s="39"/>
      <c r="S290" s="38"/>
      <c r="T290" s="38"/>
      <c r="U290" s="38"/>
      <c r="V290" s="38"/>
      <c r="W290" s="40"/>
      <c r="X290" s="39"/>
      <c r="Y290" s="39"/>
      <c r="Z290" s="44">
        <v>1.5</v>
      </c>
      <c r="AA290" s="38"/>
      <c r="AB290" s="44">
        <v>1.5</v>
      </c>
      <c r="AC290" s="38">
        <v>3</v>
      </c>
      <c r="AD290" s="38"/>
      <c r="AE290" s="39">
        <v>8.5</v>
      </c>
      <c r="AF290" s="39"/>
      <c r="AG290" s="44">
        <v>1.5</v>
      </c>
      <c r="AH290" s="38"/>
      <c r="AI290" s="37">
        <v>13</v>
      </c>
      <c r="AJ290" s="43"/>
      <c r="AK290" s="43"/>
      <c r="AL290" s="43"/>
      <c r="AM290" s="42"/>
      <c r="AN290" s="42"/>
      <c r="AO290" s="42"/>
      <c r="AP290" s="42"/>
      <c r="AQ290" s="42"/>
      <c r="AR290" s="67"/>
      <c r="AS290" s="42"/>
      <c r="AT290" s="42"/>
      <c r="AU290" s="42"/>
      <c r="AV290" s="42"/>
      <c r="AW290" s="42"/>
      <c r="AX290" s="42"/>
      <c r="AY290" s="42"/>
      <c r="AZ290" s="42"/>
    </row>
    <row r="291" s="24" customFormat="1" ht="21" customHeight="1" spans="1:52">
      <c r="A291" s="36">
        <v>144</v>
      </c>
      <c r="B291" s="35" t="s">
        <v>32</v>
      </c>
      <c r="C291" s="36" t="s">
        <v>230</v>
      </c>
      <c r="D291" s="37" t="s">
        <v>34</v>
      </c>
      <c r="E291" s="44" t="s">
        <v>35</v>
      </c>
      <c r="F291" s="44" t="s">
        <v>35</v>
      </c>
      <c r="G291" s="44" t="s">
        <v>35</v>
      </c>
      <c r="H291" s="44" t="s">
        <v>35</v>
      </c>
      <c r="I291" s="44" t="s">
        <v>35</v>
      </c>
      <c r="J291" s="39"/>
      <c r="K291" s="39" t="s">
        <v>36</v>
      </c>
      <c r="L291" s="44" t="s">
        <v>35</v>
      </c>
      <c r="M291" s="44" t="s">
        <v>35</v>
      </c>
      <c r="N291" s="44" t="s">
        <v>35</v>
      </c>
      <c r="O291" s="44" t="s">
        <v>35</v>
      </c>
      <c r="P291" s="44" t="s">
        <v>35</v>
      </c>
      <c r="Q291" s="39"/>
      <c r="R291" s="39" t="s">
        <v>36</v>
      </c>
      <c r="S291" s="44" t="s">
        <v>35</v>
      </c>
      <c r="T291" s="44" t="s">
        <v>35</v>
      </c>
      <c r="U291" s="44" t="s">
        <v>35</v>
      </c>
      <c r="V291" s="44" t="s">
        <v>35</v>
      </c>
      <c r="W291" s="40"/>
      <c r="X291" s="39" t="s">
        <v>36</v>
      </c>
      <c r="Y291" s="39"/>
      <c r="Z291" s="44" t="s">
        <v>35</v>
      </c>
      <c r="AA291" s="44" t="s">
        <v>35</v>
      </c>
      <c r="AB291" s="44" t="s">
        <v>35</v>
      </c>
      <c r="AC291" s="44" t="s">
        <v>35</v>
      </c>
      <c r="AD291" s="44" t="s">
        <v>35</v>
      </c>
      <c r="AE291" s="39"/>
      <c r="AF291" s="39" t="s">
        <v>36</v>
      </c>
      <c r="AG291" s="44" t="s">
        <v>35</v>
      </c>
      <c r="AH291" s="44" t="s">
        <v>35</v>
      </c>
      <c r="AI291" s="37">
        <v>21</v>
      </c>
      <c r="AJ291" s="35">
        <f t="shared" si="281"/>
        <v>51</v>
      </c>
      <c r="AK291" s="35">
        <v>0</v>
      </c>
      <c r="AL291" s="35">
        <f t="shared" si="286"/>
        <v>60.5</v>
      </c>
      <c r="AM291" s="36">
        <f t="shared" si="282"/>
        <v>42.5</v>
      </c>
      <c r="AN291" s="36">
        <f t="shared" si="283"/>
        <v>11.5</v>
      </c>
      <c r="AO291" s="36">
        <f t="shared" si="284"/>
        <v>168</v>
      </c>
      <c r="AP291" s="36">
        <f t="shared" si="285"/>
        <v>282.5</v>
      </c>
      <c r="AQ291" s="36">
        <v>0</v>
      </c>
      <c r="AR291" s="36">
        <v>33</v>
      </c>
      <c r="AS291" s="36">
        <v>0</v>
      </c>
      <c r="AT291" s="36">
        <v>0</v>
      </c>
      <c r="AU291" s="36">
        <v>0</v>
      </c>
      <c r="AV291" s="36">
        <v>0</v>
      </c>
      <c r="AW291" s="36">
        <v>0</v>
      </c>
      <c r="AX291" s="36">
        <v>0</v>
      </c>
      <c r="AY291" s="36">
        <v>0</v>
      </c>
      <c r="AZ291" s="36">
        <v>0</v>
      </c>
    </row>
    <row r="292" s="24" customFormat="1" ht="21" customHeight="1" spans="1:52">
      <c r="A292" s="42"/>
      <c r="B292" s="43"/>
      <c r="C292" s="42"/>
      <c r="D292" s="37" t="s">
        <v>37</v>
      </c>
      <c r="E292" s="38">
        <v>2.5</v>
      </c>
      <c r="F292" s="38">
        <v>2.5</v>
      </c>
      <c r="G292" s="38">
        <v>2.5</v>
      </c>
      <c r="H292" s="38">
        <v>2.5</v>
      </c>
      <c r="I292" s="38">
        <v>2.5</v>
      </c>
      <c r="J292" s="39">
        <v>10</v>
      </c>
      <c r="K292" s="39"/>
      <c r="L292" s="38">
        <v>3</v>
      </c>
      <c r="M292" s="38">
        <v>3</v>
      </c>
      <c r="N292" s="38">
        <v>3</v>
      </c>
      <c r="O292" s="38">
        <v>2.5</v>
      </c>
      <c r="P292" s="38">
        <v>2.5</v>
      </c>
      <c r="Q292" s="39">
        <v>11</v>
      </c>
      <c r="R292" s="39"/>
      <c r="S292" s="38">
        <v>2.5</v>
      </c>
      <c r="T292" s="38">
        <v>2.5</v>
      </c>
      <c r="U292" s="38">
        <v>3.5</v>
      </c>
      <c r="V292" s="38">
        <v>4</v>
      </c>
      <c r="W292" s="40">
        <v>11.5</v>
      </c>
      <c r="X292" s="39"/>
      <c r="Y292" s="39">
        <v>9.5</v>
      </c>
      <c r="Z292" s="38">
        <v>4.5</v>
      </c>
      <c r="AA292" s="38">
        <v>3</v>
      </c>
      <c r="AB292" s="38">
        <v>2.5</v>
      </c>
      <c r="AC292" s="38"/>
      <c r="AD292" s="38">
        <v>4</v>
      </c>
      <c r="AE292" s="39">
        <v>12</v>
      </c>
      <c r="AF292" s="39"/>
      <c r="AG292" s="38">
        <v>4</v>
      </c>
      <c r="AH292" s="38">
        <v>3.5</v>
      </c>
      <c r="AI292" s="37">
        <v>30</v>
      </c>
      <c r="AJ292" s="43"/>
      <c r="AK292" s="43"/>
      <c r="AL292" s="43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</row>
    <row r="293" s="24" customFormat="1" ht="21" customHeight="1" spans="1:52">
      <c r="A293" s="36">
        <v>145</v>
      </c>
      <c r="B293" s="35" t="s">
        <v>32</v>
      </c>
      <c r="C293" s="36" t="s">
        <v>231</v>
      </c>
      <c r="D293" s="37" t="s">
        <v>34</v>
      </c>
      <c r="E293" s="44" t="s">
        <v>35</v>
      </c>
      <c r="F293" s="44" t="s">
        <v>35</v>
      </c>
      <c r="G293" s="44" t="s">
        <v>35</v>
      </c>
      <c r="H293" s="44" t="s">
        <v>35</v>
      </c>
      <c r="I293" s="44" t="s">
        <v>35</v>
      </c>
      <c r="J293" s="39"/>
      <c r="K293" s="39" t="s">
        <v>36</v>
      </c>
      <c r="L293" s="44" t="s">
        <v>35</v>
      </c>
      <c r="M293" s="44" t="s">
        <v>35</v>
      </c>
      <c r="N293" s="44" t="s">
        <v>35</v>
      </c>
      <c r="O293" s="44" t="s">
        <v>35</v>
      </c>
      <c r="P293" s="44" t="s">
        <v>35</v>
      </c>
      <c r="Q293" s="39"/>
      <c r="R293" s="39"/>
      <c r="S293" s="44" t="s">
        <v>35</v>
      </c>
      <c r="T293" s="44" t="s">
        <v>35</v>
      </c>
      <c r="U293" s="44" t="s">
        <v>35</v>
      </c>
      <c r="V293" s="44" t="s">
        <v>35</v>
      </c>
      <c r="W293" s="40"/>
      <c r="X293" s="39"/>
      <c r="Y293" s="39"/>
      <c r="Z293" s="44" t="s">
        <v>35</v>
      </c>
      <c r="AA293" s="44" t="s">
        <v>35</v>
      </c>
      <c r="AB293" s="44" t="s">
        <v>35</v>
      </c>
      <c r="AC293" s="44" t="s">
        <v>35</v>
      </c>
      <c r="AD293" s="44" t="s">
        <v>35</v>
      </c>
      <c r="AE293" s="39"/>
      <c r="AF293" s="39"/>
      <c r="AG293" s="44" t="s">
        <v>35</v>
      </c>
      <c r="AH293" s="44" t="s">
        <v>35</v>
      </c>
      <c r="AI293" s="37">
        <v>21</v>
      </c>
      <c r="AJ293" s="35">
        <f t="shared" ref="AJ293:AJ297" si="287">AI293+AI294</f>
        <v>42</v>
      </c>
      <c r="AK293" s="35">
        <v>0</v>
      </c>
      <c r="AL293" s="35">
        <f t="shared" si="286"/>
        <v>18.5</v>
      </c>
      <c r="AM293" s="36">
        <f t="shared" ref="AM293:AM297" si="288">J294+K294+Q294+R294+X294+Y294+AE294+AF294</f>
        <v>57.5</v>
      </c>
      <c r="AN293" s="36">
        <f t="shared" ref="AN293:AN297" si="289">W294</f>
        <v>8</v>
      </c>
      <c r="AO293" s="36">
        <f t="shared" ref="AO293:AO297" si="290">21*8</f>
        <v>168</v>
      </c>
      <c r="AP293" s="36">
        <f t="shared" ref="AP293:AP297" si="291">AL293+AM293+AN293+AO293-AQ293-AS293-AT293-AV293-AW293-AX293-AY293-AZ293-AU293</f>
        <v>252</v>
      </c>
      <c r="AQ293" s="36">
        <v>0</v>
      </c>
      <c r="AR293" s="36">
        <v>60</v>
      </c>
      <c r="AS293" s="36">
        <v>0</v>
      </c>
      <c r="AT293" s="36">
        <v>0</v>
      </c>
      <c r="AU293" s="36">
        <v>0</v>
      </c>
      <c r="AV293" s="36">
        <v>0</v>
      </c>
      <c r="AW293" s="36">
        <v>0</v>
      </c>
      <c r="AX293" s="36">
        <v>0</v>
      </c>
      <c r="AY293" s="36">
        <v>0</v>
      </c>
      <c r="AZ293" s="36">
        <v>0</v>
      </c>
    </row>
    <row r="294" s="24" customFormat="1" ht="21" customHeight="1" spans="1:52">
      <c r="A294" s="42"/>
      <c r="B294" s="43"/>
      <c r="C294" s="42"/>
      <c r="D294" s="37" t="s">
        <v>37</v>
      </c>
      <c r="E294" s="38"/>
      <c r="F294" s="38"/>
      <c r="G294" s="38"/>
      <c r="H294" s="38"/>
      <c r="I294" s="38"/>
      <c r="J294" s="39">
        <v>8</v>
      </c>
      <c r="K294" s="39"/>
      <c r="L294" s="38"/>
      <c r="M294" s="38"/>
      <c r="N294" s="38"/>
      <c r="O294" s="44">
        <v>1.5</v>
      </c>
      <c r="P294" s="44">
        <v>1.5</v>
      </c>
      <c r="Q294" s="39">
        <v>9.5</v>
      </c>
      <c r="R294" s="39">
        <v>8</v>
      </c>
      <c r="S294" s="44">
        <v>1.5</v>
      </c>
      <c r="T294" s="44">
        <v>1.5</v>
      </c>
      <c r="U294" s="44">
        <v>1.5</v>
      </c>
      <c r="V294" s="44">
        <v>1.5</v>
      </c>
      <c r="W294" s="40">
        <v>8</v>
      </c>
      <c r="X294" s="39">
        <v>8</v>
      </c>
      <c r="Y294" s="39">
        <v>8</v>
      </c>
      <c r="Z294" s="44">
        <v>1.5</v>
      </c>
      <c r="AA294" s="38"/>
      <c r="AB294" s="44">
        <v>1.5</v>
      </c>
      <c r="AC294" s="44">
        <v>1.5</v>
      </c>
      <c r="AD294" s="44">
        <v>1.5</v>
      </c>
      <c r="AE294" s="39">
        <v>8</v>
      </c>
      <c r="AF294" s="39">
        <v>8</v>
      </c>
      <c r="AG294" s="44">
        <v>1.5</v>
      </c>
      <c r="AH294" s="38">
        <v>2</v>
      </c>
      <c r="AI294" s="37">
        <v>21</v>
      </c>
      <c r="AJ294" s="43"/>
      <c r="AK294" s="43"/>
      <c r="AL294" s="43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</row>
    <row r="295" s="24" customFormat="1" ht="21" customHeight="1" spans="1:52">
      <c r="A295" s="36">
        <v>146</v>
      </c>
      <c r="B295" s="35" t="s">
        <v>32</v>
      </c>
      <c r="C295" s="36" t="s">
        <v>232</v>
      </c>
      <c r="D295" s="37" t="s">
        <v>34</v>
      </c>
      <c r="E295" s="44" t="s">
        <v>35</v>
      </c>
      <c r="F295" s="44" t="s">
        <v>35</v>
      </c>
      <c r="G295" s="44" t="s">
        <v>35</v>
      </c>
      <c r="H295" s="44" t="s">
        <v>35</v>
      </c>
      <c r="I295" s="44" t="s">
        <v>35</v>
      </c>
      <c r="J295" s="39"/>
      <c r="K295" s="39" t="s">
        <v>36</v>
      </c>
      <c r="L295" s="44" t="s">
        <v>35</v>
      </c>
      <c r="M295" s="44" t="s">
        <v>35</v>
      </c>
      <c r="N295" s="44" t="s">
        <v>35</v>
      </c>
      <c r="O295" s="44" t="s">
        <v>35</v>
      </c>
      <c r="P295" s="44" t="s">
        <v>35</v>
      </c>
      <c r="Q295" s="39"/>
      <c r="R295" s="39" t="s">
        <v>36</v>
      </c>
      <c r="S295" s="44" t="s">
        <v>35</v>
      </c>
      <c r="T295" s="44" t="s">
        <v>35</v>
      </c>
      <c r="U295" s="44" t="s">
        <v>35</v>
      </c>
      <c r="V295" s="44" t="s">
        <v>35</v>
      </c>
      <c r="W295" s="40"/>
      <c r="X295" s="39" t="s">
        <v>36</v>
      </c>
      <c r="Y295" s="39" t="s">
        <v>36</v>
      </c>
      <c r="Z295" s="44" t="s">
        <v>35</v>
      </c>
      <c r="AA295" s="44" t="s">
        <v>35</v>
      </c>
      <c r="AB295" s="44" t="s">
        <v>35</v>
      </c>
      <c r="AC295" s="44" t="s">
        <v>35</v>
      </c>
      <c r="AD295" s="44" t="s">
        <v>35</v>
      </c>
      <c r="AE295" s="39"/>
      <c r="AF295" s="39" t="s">
        <v>36</v>
      </c>
      <c r="AG295" s="44" t="s">
        <v>35</v>
      </c>
      <c r="AH295" s="44" t="s">
        <v>35</v>
      </c>
      <c r="AI295" s="37">
        <v>21</v>
      </c>
      <c r="AJ295" s="35">
        <f t="shared" si="287"/>
        <v>45</v>
      </c>
      <c r="AK295" s="35">
        <v>0</v>
      </c>
      <c r="AL295" s="35">
        <f t="shared" ref="AL295:AL299" si="292">E296+F296+G296+H296+I296+L296+M296+N296+O296+P296+S296+T296+U296+V296+Z296+AA296+AB296+AC296+AD296+AG296+AH296</f>
        <v>60</v>
      </c>
      <c r="AM295" s="36">
        <f t="shared" si="288"/>
        <v>24.5</v>
      </c>
      <c r="AN295" s="36">
        <f t="shared" si="289"/>
        <v>10.5</v>
      </c>
      <c r="AO295" s="36">
        <f t="shared" si="290"/>
        <v>168</v>
      </c>
      <c r="AP295" s="36">
        <f t="shared" si="291"/>
        <v>263</v>
      </c>
      <c r="AQ295" s="36">
        <v>0</v>
      </c>
      <c r="AR295" s="36">
        <v>30</v>
      </c>
      <c r="AS295" s="36">
        <v>0</v>
      </c>
      <c r="AT295" s="36">
        <v>0</v>
      </c>
      <c r="AU295" s="36">
        <v>0</v>
      </c>
      <c r="AV295" s="36">
        <v>0</v>
      </c>
      <c r="AW295" s="36">
        <v>0</v>
      </c>
      <c r="AX295" s="36">
        <v>0</v>
      </c>
      <c r="AY295" s="36">
        <v>0</v>
      </c>
      <c r="AZ295" s="36">
        <v>0</v>
      </c>
    </row>
    <row r="296" s="24" customFormat="1" ht="21" customHeight="1" spans="1:52">
      <c r="A296" s="42"/>
      <c r="B296" s="43"/>
      <c r="C296" s="42"/>
      <c r="D296" s="37" t="s">
        <v>37</v>
      </c>
      <c r="E296" s="38">
        <v>1.5</v>
      </c>
      <c r="F296" s="38">
        <v>3.5</v>
      </c>
      <c r="G296" s="38">
        <v>2.5</v>
      </c>
      <c r="H296" s="38">
        <v>3.5</v>
      </c>
      <c r="I296" s="38">
        <v>3</v>
      </c>
      <c r="J296" s="39">
        <v>8.5</v>
      </c>
      <c r="K296" s="39"/>
      <c r="L296" s="38">
        <v>2.5</v>
      </c>
      <c r="M296" s="38">
        <v>3</v>
      </c>
      <c r="N296" s="38">
        <v>3</v>
      </c>
      <c r="O296" s="38">
        <v>4</v>
      </c>
      <c r="P296" s="38">
        <v>2</v>
      </c>
      <c r="Q296" s="39">
        <v>7.5</v>
      </c>
      <c r="R296" s="39"/>
      <c r="S296" s="38">
        <v>3.5</v>
      </c>
      <c r="T296" s="38">
        <v>3</v>
      </c>
      <c r="U296" s="38">
        <v>3.5</v>
      </c>
      <c r="V296" s="38">
        <v>2</v>
      </c>
      <c r="W296" s="40">
        <v>10.5</v>
      </c>
      <c r="X296" s="39"/>
      <c r="Y296" s="39"/>
      <c r="Z296" s="38">
        <v>2.5</v>
      </c>
      <c r="AA296" s="38">
        <v>3.5</v>
      </c>
      <c r="AB296" s="38">
        <v>2.5</v>
      </c>
      <c r="AC296" s="38">
        <v>1</v>
      </c>
      <c r="AD296" s="38">
        <v>4</v>
      </c>
      <c r="AE296" s="39">
        <v>8.5</v>
      </c>
      <c r="AF296" s="39"/>
      <c r="AG296" s="38">
        <v>3</v>
      </c>
      <c r="AH296" s="38">
        <v>3</v>
      </c>
      <c r="AI296" s="37">
        <v>24</v>
      </c>
      <c r="AJ296" s="43"/>
      <c r="AK296" s="43"/>
      <c r="AL296" s="43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</row>
    <row r="297" s="24" customFormat="1" ht="21" customHeight="1" spans="1:52">
      <c r="A297" s="36">
        <v>147</v>
      </c>
      <c r="B297" s="35" t="s">
        <v>32</v>
      </c>
      <c r="C297" s="36" t="s">
        <v>233</v>
      </c>
      <c r="D297" s="61" t="s">
        <v>34</v>
      </c>
      <c r="E297" s="44" t="s">
        <v>35</v>
      </c>
      <c r="F297" s="44" t="s">
        <v>35</v>
      </c>
      <c r="G297" s="44" t="s">
        <v>209</v>
      </c>
      <c r="H297" s="44" t="s">
        <v>35</v>
      </c>
      <c r="I297" s="44" t="s">
        <v>35</v>
      </c>
      <c r="J297" s="45"/>
      <c r="K297" s="45" t="s">
        <v>36</v>
      </c>
      <c r="L297" s="44" t="s">
        <v>35</v>
      </c>
      <c r="M297" s="44" t="s">
        <v>35</v>
      </c>
      <c r="N297" s="44" t="s">
        <v>35</v>
      </c>
      <c r="O297" s="44" t="s">
        <v>35</v>
      </c>
      <c r="P297" s="44" t="s">
        <v>35</v>
      </c>
      <c r="Q297" s="45" t="s">
        <v>36</v>
      </c>
      <c r="R297" s="45"/>
      <c r="S297" s="44" t="s">
        <v>35</v>
      </c>
      <c r="T297" s="44" t="s">
        <v>35</v>
      </c>
      <c r="U297" s="44" t="s">
        <v>35</v>
      </c>
      <c r="V297" s="44" t="s">
        <v>35</v>
      </c>
      <c r="W297" s="46" t="s">
        <v>36</v>
      </c>
      <c r="X297" s="45" t="s">
        <v>36</v>
      </c>
      <c r="Y297" s="45" t="s">
        <v>36</v>
      </c>
      <c r="Z297" s="44" t="s">
        <v>35</v>
      </c>
      <c r="AA297" s="44" t="s">
        <v>35</v>
      </c>
      <c r="AB297" s="44" t="s">
        <v>35</v>
      </c>
      <c r="AC297" s="44" t="s">
        <v>35</v>
      </c>
      <c r="AD297" s="44" t="s">
        <v>35</v>
      </c>
      <c r="AE297" s="45" t="s">
        <v>36</v>
      </c>
      <c r="AF297" s="45"/>
      <c r="AG297" s="44" t="s">
        <v>35</v>
      </c>
      <c r="AH297" s="44" t="s">
        <v>35</v>
      </c>
      <c r="AI297" s="50">
        <v>21</v>
      </c>
      <c r="AJ297" s="51">
        <f t="shared" si="287"/>
        <v>35</v>
      </c>
      <c r="AK297" s="51">
        <v>0</v>
      </c>
      <c r="AL297" s="52">
        <f t="shared" si="292"/>
        <v>20</v>
      </c>
      <c r="AM297" s="53">
        <f t="shared" si="288"/>
        <v>22.5</v>
      </c>
      <c r="AN297" s="53">
        <f t="shared" si="289"/>
        <v>0</v>
      </c>
      <c r="AO297" s="53">
        <f t="shared" si="290"/>
        <v>168</v>
      </c>
      <c r="AP297" s="54">
        <f t="shared" si="291"/>
        <v>206</v>
      </c>
      <c r="AQ297" s="54">
        <v>0</v>
      </c>
      <c r="AR297" s="36">
        <v>0</v>
      </c>
      <c r="AS297" s="53">
        <v>0</v>
      </c>
      <c r="AT297" s="53">
        <v>4.5</v>
      </c>
      <c r="AU297" s="53">
        <v>0</v>
      </c>
      <c r="AV297" s="53">
        <v>0</v>
      </c>
      <c r="AW297" s="53">
        <v>0</v>
      </c>
      <c r="AX297" s="53">
        <v>0</v>
      </c>
      <c r="AY297" s="53">
        <v>0</v>
      </c>
      <c r="AZ297" s="53">
        <v>0</v>
      </c>
    </row>
    <row r="298" s="24" customFormat="1" ht="21" customHeight="1" spans="1:52">
      <c r="A298" s="42"/>
      <c r="B298" s="43"/>
      <c r="C298" s="42"/>
      <c r="D298" s="61" t="s">
        <v>37</v>
      </c>
      <c r="E298" s="44">
        <v>2</v>
      </c>
      <c r="F298" s="44"/>
      <c r="G298" s="44"/>
      <c r="H298" s="44">
        <v>2.5</v>
      </c>
      <c r="I298" s="44">
        <v>1.5</v>
      </c>
      <c r="J298" s="45">
        <v>8</v>
      </c>
      <c r="K298" s="45"/>
      <c r="L298" s="44"/>
      <c r="M298" s="44">
        <v>2</v>
      </c>
      <c r="N298" s="44">
        <v>2</v>
      </c>
      <c r="O298" s="44"/>
      <c r="P298" s="44">
        <v>2</v>
      </c>
      <c r="Q298" s="45"/>
      <c r="R298" s="45">
        <v>8</v>
      </c>
      <c r="S298" s="44">
        <v>1.5</v>
      </c>
      <c r="T298" s="44">
        <v>1.5</v>
      </c>
      <c r="U298" s="44">
        <v>1.5</v>
      </c>
      <c r="V298" s="44"/>
      <c r="W298" s="46"/>
      <c r="X298" s="45"/>
      <c r="Y298" s="45"/>
      <c r="Z298" s="44">
        <v>2</v>
      </c>
      <c r="AA298" s="44"/>
      <c r="AB298" s="44"/>
      <c r="AC298" s="44"/>
      <c r="AD298" s="44"/>
      <c r="AE298" s="45"/>
      <c r="AF298" s="45">
        <v>6.5</v>
      </c>
      <c r="AG298" s="44">
        <v>1.5</v>
      </c>
      <c r="AH298" s="44"/>
      <c r="AI298" s="50">
        <v>14</v>
      </c>
      <c r="AJ298" s="56"/>
      <c r="AK298" s="56"/>
      <c r="AL298" s="57"/>
      <c r="AM298" s="58"/>
      <c r="AN298" s="58"/>
      <c r="AO298" s="58"/>
      <c r="AP298" s="59"/>
      <c r="AQ298" s="59"/>
      <c r="AR298" s="42"/>
      <c r="AS298" s="58"/>
      <c r="AT298" s="58"/>
      <c r="AU298" s="58"/>
      <c r="AV298" s="58"/>
      <c r="AW298" s="58"/>
      <c r="AX298" s="58"/>
      <c r="AY298" s="58"/>
      <c r="AZ298" s="58"/>
    </row>
    <row r="299" s="24" customFormat="1" ht="21" customHeight="1" spans="1:52">
      <c r="A299" s="36">
        <v>148</v>
      </c>
      <c r="B299" s="35" t="s">
        <v>32</v>
      </c>
      <c r="C299" s="35" t="s">
        <v>234</v>
      </c>
      <c r="D299" s="37" t="s">
        <v>34</v>
      </c>
      <c r="E299" s="44" t="s">
        <v>35</v>
      </c>
      <c r="F299" s="44" t="s">
        <v>35</v>
      </c>
      <c r="G299" s="44" t="s">
        <v>35</v>
      </c>
      <c r="H299" s="44" t="s">
        <v>35</v>
      </c>
      <c r="I299" s="44" t="s">
        <v>35</v>
      </c>
      <c r="J299" s="39" t="s">
        <v>36</v>
      </c>
      <c r="K299" s="39" t="s">
        <v>36</v>
      </c>
      <c r="L299" s="44" t="s">
        <v>35</v>
      </c>
      <c r="M299" s="44" t="s">
        <v>35</v>
      </c>
      <c r="N299" s="44" t="s">
        <v>35</v>
      </c>
      <c r="O299" s="44" t="s">
        <v>66</v>
      </c>
      <c r="P299" s="44" t="s">
        <v>35</v>
      </c>
      <c r="Q299" s="39" t="s">
        <v>36</v>
      </c>
      <c r="R299" s="39" t="s">
        <v>36</v>
      </c>
      <c r="S299" s="44" t="s">
        <v>35</v>
      </c>
      <c r="T299" s="44" t="s">
        <v>35</v>
      </c>
      <c r="U299" s="44" t="s">
        <v>35</v>
      </c>
      <c r="V299" s="44" t="s">
        <v>35</v>
      </c>
      <c r="W299" s="40" t="s">
        <v>36</v>
      </c>
      <c r="X299" s="39" t="s">
        <v>36</v>
      </c>
      <c r="Y299" s="39" t="s">
        <v>36</v>
      </c>
      <c r="Z299" s="44" t="s">
        <v>50</v>
      </c>
      <c r="AA299" s="44" t="s">
        <v>39</v>
      </c>
      <c r="AB299" s="44" t="s">
        <v>39</v>
      </c>
      <c r="AC299" s="44" t="s">
        <v>39</v>
      </c>
      <c r="AD299" s="44" t="s">
        <v>50</v>
      </c>
      <c r="AE299" s="39" t="s">
        <v>36</v>
      </c>
      <c r="AF299" s="39" t="s">
        <v>36</v>
      </c>
      <c r="AG299" s="44" t="s">
        <v>35</v>
      </c>
      <c r="AH299" s="44" t="s">
        <v>35</v>
      </c>
      <c r="AI299" s="37">
        <v>15</v>
      </c>
      <c r="AJ299" s="35">
        <f t="shared" ref="AJ299:AJ303" si="293">AI299+AI300</f>
        <v>16</v>
      </c>
      <c r="AK299" s="35">
        <v>3</v>
      </c>
      <c r="AL299" s="35">
        <f t="shared" si="292"/>
        <v>1.5</v>
      </c>
      <c r="AM299" s="36">
        <f t="shared" ref="AM299:AM303" si="294">J300+K300+Q300+R300+X300+Y300+AE300+AF300</f>
        <v>0</v>
      </c>
      <c r="AN299" s="36">
        <f t="shared" ref="AN299:AN303" si="295">W300</f>
        <v>0</v>
      </c>
      <c r="AO299" s="36">
        <f>21*8</f>
        <v>168</v>
      </c>
      <c r="AP299" s="36">
        <f t="shared" ref="AP299:AP303" si="296">AL299+AM299+AN299+AO299-AQ299-AS299-AT299-AV299-AW299-AX299-AY299-AZ299-AU299</f>
        <v>151</v>
      </c>
      <c r="AQ299" s="36">
        <v>0</v>
      </c>
      <c r="AR299" s="36">
        <v>0</v>
      </c>
      <c r="AS299" s="36">
        <v>0</v>
      </c>
      <c r="AT299" s="36">
        <v>18.5</v>
      </c>
      <c r="AU299" s="36">
        <v>0</v>
      </c>
      <c r="AV299" s="36">
        <v>0</v>
      </c>
      <c r="AW299" s="36">
        <v>0</v>
      </c>
      <c r="AX299" s="36">
        <v>0</v>
      </c>
      <c r="AY299" s="36">
        <v>0</v>
      </c>
      <c r="AZ299" s="36">
        <v>0</v>
      </c>
    </row>
    <row r="300" s="24" customFormat="1" ht="21" customHeight="1" spans="1:52">
      <c r="A300" s="42"/>
      <c r="B300" s="43"/>
      <c r="C300" s="43"/>
      <c r="D300" s="37" t="s">
        <v>37</v>
      </c>
      <c r="E300" s="38"/>
      <c r="F300" s="38"/>
      <c r="G300" s="38"/>
      <c r="H300" s="38"/>
      <c r="I300" s="38"/>
      <c r="J300" s="39"/>
      <c r="K300" s="39"/>
      <c r="L300" s="38"/>
      <c r="M300" s="38"/>
      <c r="N300" s="38"/>
      <c r="O300" s="44">
        <v>1.5</v>
      </c>
      <c r="P300" s="38"/>
      <c r="Q300" s="39"/>
      <c r="R300" s="39"/>
      <c r="S300" s="38"/>
      <c r="T300" s="38"/>
      <c r="U300" s="38"/>
      <c r="V300" s="38"/>
      <c r="W300" s="40"/>
      <c r="X300" s="39"/>
      <c r="Y300" s="39"/>
      <c r="Z300" s="38"/>
      <c r="AA300" s="38"/>
      <c r="AB300" s="38"/>
      <c r="AC300" s="38"/>
      <c r="AD300" s="38"/>
      <c r="AE300" s="39"/>
      <c r="AF300" s="39"/>
      <c r="AG300" s="38"/>
      <c r="AH300" s="38"/>
      <c r="AI300" s="37">
        <v>1</v>
      </c>
      <c r="AJ300" s="43"/>
      <c r="AK300" s="43"/>
      <c r="AL300" s="43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</row>
    <row r="301" s="24" customFormat="1" ht="21" customHeight="1" spans="1:52">
      <c r="A301" s="36">
        <v>149</v>
      </c>
      <c r="B301" s="35" t="s">
        <v>32</v>
      </c>
      <c r="C301" s="36" t="s">
        <v>235</v>
      </c>
      <c r="D301" s="37" t="s">
        <v>34</v>
      </c>
      <c r="E301" s="44" t="s">
        <v>61</v>
      </c>
      <c r="F301" s="44" t="s">
        <v>61</v>
      </c>
      <c r="G301" s="44" t="s">
        <v>61</v>
      </c>
      <c r="H301" s="44" t="s">
        <v>61</v>
      </c>
      <c r="I301" s="44" t="s">
        <v>61</v>
      </c>
      <c r="J301" s="45" t="s">
        <v>36</v>
      </c>
      <c r="K301" s="45" t="s">
        <v>36</v>
      </c>
      <c r="L301" s="44" t="s">
        <v>35</v>
      </c>
      <c r="M301" s="44" t="s">
        <v>35</v>
      </c>
      <c r="N301" s="44" t="s">
        <v>35</v>
      </c>
      <c r="O301" s="44" t="s">
        <v>35</v>
      </c>
      <c r="P301" s="44" t="s">
        <v>35</v>
      </c>
      <c r="Q301" s="45"/>
      <c r="R301" s="45" t="s">
        <v>36</v>
      </c>
      <c r="S301" s="44" t="s">
        <v>35</v>
      </c>
      <c r="T301" s="44" t="s">
        <v>35</v>
      </c>
      <c r="U301" s="44" t="s">
        <v>61</v>
      </c>
      <c r="V301" s="44" t="s">
        <v>61</v>
      </c>
      <c r="W301" s="46" t="s">
        <v>36</v>
      </c>
      <c r="X301" s="45" t="s">
        <v>36</v>
      </c>
      <c r="Y301" s="45" t="s">
        <v>36</v>
      </c>
      <c r="Z301" s="44" t="s">
        <v>35</v>
      </c>
      <c r="AA301" s="44" t="s">
        <v>35</v>
      </c>
      <c r="AB301" s="44" t="s">
        <v>35</v>
      </c>
      <c r="AC301" s="44" t="s">
        <v>35</v>
      </c>
      <c r="AD301" s="44" t="s">
        <v>35</v>
      </c>
      <c r="AE301" s="45"/>
      <c r="AF301" s="45"/>
      <c r="AG301" s="44" t="s">
        <v>35</v>
      </c>
      <c r="AH301" s="44" t="s">
        <v>117</v>
      </c>
      <c r="AI301" s="50">
        <v>13</v>
      </c>
      <c r="AJ301" s="51">
        <f t="shared" si="293"/>
        <v>19</v>
      </c>
      <c r="AK301" s="51">
        <v>1</v>
      </c>
      <c r="AL301" s="52">
        <f>E302+F302+G302+H302+I302+L302+M302+N302+O302+P302+S302+T302+U302+V302+Z302+AA302+AB302+AC302+AD302+AG302</f>
        <v>16</v>
      </c>
      <c r="AM301" s="53">
        <f t="shared" si="294"/>
        <v>19.5</v>
      </c>
      <c r="AN301" s="53">
        <f t="shared" si="295"/>
        <v>0</v>
      </c>
      <c r="AO301" s="53">
        <f>20*8</f>
        <v>160</v>
      </c>
      <c r="AP301" s="54">
        <f t="shared" si="296"/>
        <v>139.5</v>
      </c>
      <c r="AQ301" s="54">
        <v>0</v>
      </c>
      <c r="AR301" s="36">
        <v>0</v>
      </c>
      <c r="AS301" s="53">
        <v>0</v>
      </c>
      <c r="AT301" s="53">
        <v>56</v>
      </c>
      <c r="AU301" s="53">
        <v>0</v>
      </c>
      <c r="AV301" s="53">
        <v>0</v>
      </c>
      <c r="AW301" s="53">
        <v>0</v>
      </c>
      <c r="AX301" s="53">
        <v>0</v>
      </c>
      <c r="AY301" s="53">
        <v>0</v>
      </c>
      <c r="AZ301" s="53">
        <v>0</v>
      </c>
    </row>
    <row r="302" s="24" customFormat="1" ht="21" customHeight="1" spans="1:52">
      <c r="A302" s="42"/>
      <c r="B302" s="43"/>
      <c r="C302" s="42"/>
      <c r="D302" s="37" t="s">
        <v>37</v>
      </c>
      <c r="E302" s="44"/>
      <c r="F302" s="44"/>
      <c r="G302" s="44"/>
      <c r="H302" s="44"/>
      <c r="I302" s="44"/>
      <c r="J302" s="45"/>
      <c r="K302" s="45"/>
      <c r="L302" s="44"/>
      <c r="M302" s="44">
        <v>1</v>
      </c>
      <c r="N302" s="44">
        <v>3.5</v>
      </c>
      <c r="O302" s="44">
        <v>3</v>
      </c>
      <c r="P302" s="44"/>
      <c r="Q302" s="45">
        <v>4</v>
      </c>
      <c r="R302" s="45"/>
      <c r="S302" s="44">
        <v>3</v>
      </c>
      <c r="T302" s="44"/>
      <c r="U302" s="44"/>
      <c r="V302" s="44"/>
      <c r="W302" s="46"/>
      <c r="X302" s="45"/>
      <c r="Y302" s="45"/>
      <c r="Z302" s="44">
        <v>1</v>
      </c>
      <c r="AA302" s="44"/>
      <c r="AB302" s="44">
        <v>1</v>
      </c>
      <c r="AC302" s="44">
        <v>2</v>
      </c>
      <c r="AD302" s="44">
        <v>1.5</v>
      </c>
      <c r="AE302" s="45">
        <v>7.5</v>
      </c>
      <c r="AF302" s="45">
        <v>8</v>
      </c>
      <c r="AG302" s="44"/>
      <c r="AH302" s="44"/>
      <c r="AI302" s="50">
        <v>6</v>
      </c>
      <c r="AJ302" s="56"/>
      <c r="AK302" s="56"/>
      <c r="AL302" s="57"/>
      <c r="AM302" s="58"/>
      <c r="AN302" s="58"/>
      <c r="AO302" s="58"/>
      <c r="AP302" s="59"/>
      <c r="AQ302" s="59"/>
      <c r="AR302" s="42"/>
      <c r="AS302" s="58"/>
      <c r="AT302" s="58"/>
      <c r="AU302" s="58"/>
      <c r="AV302" s="58"/>
      <c r="AW302" s="58"/>
      <c r="AX302" s="58"/>
      <c r="AY302" s="58"/>
      <c r="AZ302" s="58"/>
    </row>
    <row r="303" s="24" customFormat="1" ht="21" customHeight="1" spans="1:52">
      <c r="A303" s="36">
        <v>150</v>
      </c>
      <c r="B303" s="35" t="s">
        <v>32</v>
      </c>
      <c r="C303" s="36" t="s">
        <v>236</v>
      </c>
      <c r="D303" s="37" t="s">
        <v>34</v>
      </c>
      <c r="E303" s="44" t="s">
        <v>35</v>
      </c>
      <c r="F303" s="44" t="s">
        <v>35</v>
      </c>
      <c r="G303" s="44" t="s">
        <v>35</v>
      </c>
      <c r="H303" s="44" t="s">
        <v>35</v>
      </c>
      <c r="I303" s="44" t="s">
        <v>35</v>
      </c>
      <c r="J303" s="39"/>
      <c r="K303" s="39" t="s">
        <v>36</v>
      </c>
      <c r="L303" s="44" t="s">
        <v>35</v>
      </c>
      <c r="M303" s="44" t="s">
        <v>35</v>
      </c>
      <c r="N303" s="44" t="s">
        <v>35</v>
      </c>
      <c r="O303" s="44" t="s">
        <v>35</v>
      </c>
      <c r="P303" s="44" t="s">
        <v>35</v>
      </c>
      <c r="Q303" s="39"/>
      <c r="R303" s="39"/>
      <c r="S303" s="44" t="s">
        <v>35</v>
      </c>
      <c r="T303" s="44" t="s">
        <v>35</v>
      </c>
      <c r="U303" s="44" t="s">
        <v>35</v>
      </c>
      <c r="V303" s="44" t="s">
        <v>35</v>
      </c>
      <c r="W303" s="40"/>
      <c r="X303" s="39"/>
      <c r="Y303" s="39" t="s">
        <v>36</v>
      </c>
      <c r="Z303" s="44" t="s">
        <v>35</v>
      </c>
      <c r="AA303" s="44" t="s">
        <v>35</v>
      </c>
      <c r="AB303" s="44" t="s">
        <v>35</v>
      </c>
      <c r="AC303" s="44" t="s">
        <v>35</v>
      </c>
      <c r="AD303" s="44" t="s">
        <v>35</v>
      </c>
      <c r="AE303" s="39" t="s">
        <v>36</v>
      </c>
      <c r="AF303" s="39"/>
      <c r="AG303" s="44" t="s">
        <v>35</v>
      </c>
      <c r="AH303" s="44" t="s">
        <v>35</v>
      </c>
      <c r="AI303" s="48">
        <v>21</v>
      </c>
      <c r="AJ303" s="35">
        <f t="shared" si="293"/>
        <v>45</v>
      </c>
      <c r="AK303" s="35">
        <v>0</v>
      </c>
      <c r="AL303" s="35">
        <f t="shared" ref="AL303:AL307" si="297">E304+F304+G304+H304+I304+L304+M304+N304+O304+P304+S304+T304+U304+V304+Z304+AA304+AB304+AC304+AD304+AG304+AH304</f>
        <v>41</v>
      </c>
      <c r="AM303" s="36">
        <f t="shared" si="294"/>
        <v>37.5</v>
      </c>
      <c r="AN303" s="36">
        <f t="shared" si="295"/>
        <v>8</v>
      </c>
      <c r="AO303" s="36">
        <f t="shared" ref="AO303:AO307" si="298">21*8</f>
        <v>168</v>
      </c>
      <c r="AP303" s="36">
        <f t="shared" si="296"/>
        <v>254.5</v>
      </c>
      <c r="AQ303" s="36">
        <v>0</v>
      </c>
      <c r="AR303" s="36">
        <v>0</v>
      </c>
      <c r="AS303" s="36">
        <v>0</v>
      </c>
      <c r="AT303" s="36">
        <v>0</v>
      </c>
      <c r="AU303" s="36">
        <v>0</v>
      </c>
      <c r="AV303" s="36">
        <v>0</v>
      </c>
      <c r="AW303" s="36">
        <v>0</v>
      </c>
      <c r="AX303" s="36">
        <v>0</v>
      </c>
      <c r="AY303" s="36">
        <v>0</v>
      </c>
      <c r="AZ303" s="36">
        <v>0</v>
      </c>
    </row>
    <row r="304" s="24" customFormat="1" ht="21" customHeight="1" spans="1:52">
      <c r="A304" s="42"/>
      <c r="B304" s="43"/>
      <c r="C304" s="42"/>
      <c r="D304" s="37" t="s">
        <v>37</v>
      </c>
      <c r="E304" s="38">
        <v>2</v>
      </c>
      <c r="F304" s="38">
        <v>2</v>
      </c>
      <c r="G304" s="38">
        <v>2</v>
      </c>
      <c r="H304" s="38">
        <v>2</v>
      </c>
      <c r="I304" s="38">
        <v>2</v>
      </c>
      <c r="J304" s="39">
        <v>7.5</v>
      </c>
      <c r="K304" s="39"/>
      <c r="L304" s="38">
        <v>2</v>
      </c>
      <c r="M304" s="38">
        <v>2</v>
      </c>
      <c r="N304" s="38">
        <v>2</v>
      </c>
      <c r="O304" s="38">
        <v>2.5</v>
      </c>
      <c r="P304" s="38">
        <v>2.5</v>
      </c>
      <c r="Q304" s="39">
        <v>7.5</v>
      </c>
      <c r="R304" s="39">
        <v>7</v>
      </c>
      <c r="S304" s="38">
        <v>2.5</v>
      </c>
      <c r="T304" s="38">
        <v>2</v>
      </c>
      <c r="U304" s="38">
        <v>3</v>
      </c>
      <c r="V304" s="38">
        <v>3</v>
      </c>
      <c r="W304" s="40">
        <v>8</v>
      </c>
      <c r="X304" s="39">
        <v>7.5</v>
      </c>
      <c r="Y304" s="39"/>
      <c r="Z304" s="38">
        <v>2</v>
      </c>
      <c r="AA304" s="38">
        <v>2.5</v>
      </c>
      <c r="AB304" s="38"/>
      <c r="AC304" s="38"/>
      <c r="AD304" s="38"/>
      <c r="AE304" s="39"/>
      <c r="AF304" s="39">
        <v>8</v>
      </c>
      <c r="AG304" s="38">
        <v>3</v>
      </c>
      <c r="AH304" s="38">
        <v>2</v>
      </c>
      <c r="AI304" s="37">
        <v>24</v>
      </c>
      <c r="AJ304" s="43"/>
      <c r="AK304" s="43"/>
      <c r="AL304" s="43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</row>
    <row r="305" s="24" customFormat="1" ht="21" customHeight="1" spans="1:52">
      <c r="A305" s="36">
        <v>151</v>
      </c>
      <c r="B305" s="35" t="s">
        <v>32</v>
      </c>
      <c r="C305" s="36" t="s">
        <v>237</v>
      </c>
      <c r="D305" s="37" t="s">
        <v>34</v>
      </c>
      <c r="E305" s="44" t="s">
        <v>35</v>
      </c>
      <c r="F305" s="44" t="s">
        <v>35</v>
      </c>
      <c r="G305" s="44" t="s">
        <v>35</v>
      </c>
      <c r="H305" s="44" t="s">
        <v>35</v>
      </c>
      <c r="I305" s="44" t="s">
        <v>35</v>
      </c>
      <c r="J305" s="39"/>
      <c r="K305" s="39" t="s">
        <v>36</v>
      </c>
      <c r="L305" s="44" t="s">
        <v>35</v>
      </c>
      <c r="M305" s="44" t="s">
        <v>35</v>
      </c>
      <c r="N305" s="44" t="s">
        <v>35</v>
      </c>
      <c r="O305" s="44" t="s">
        <v>35</v>
      </c>
      <c r="P305" s="44" t="s">
        <v>35</v>
      </c>
      <c r="Q305" s="39"/>
      <c r="R305" s="39" t="s">
        <v>36</v>
      </c>
      <c r="S305" s="44" t="s">
        <v>35</v>
      </c>
      <c r="T305" s="44" t="s">
        <v>35</v>
      </c>
      <c r="U305" s="44" t="s">
        <v>35</v>
      </c>
      <c r="V305" s="44" t="s">
        <v>35</v>
      </c>
      <c r="W305" s="40" t="s">
        <v>36</v>
      </c>
      <c r="X305" s="39" t="s">
        <v>36</v>
      </c>
      <c r="Y305" s="39" t="s">
        <v>36</v>
      </c>
      <c r="Z305" s="44" t="s">
        <v>35</v>
      </c>
      <c r="AA305" s="44" t="s">
        <v>35</v>
      </c>
      <c r="AB305" s="44" t="s">
        <v>35</v>
      </c>
      <c r="AC305" s="44" t="s">
        <v>35</v>
      </c>
      <c r="AD305" s="44" t="s">
        <v>35</v>
      </c>
      <c r="AE305" s="39" t="s">
        <v>36</v>
      </c>
      <c r="AF305" s="39" t="s">
        <v>36</v>
      </c>
      <c r="AG305" s="44" t="s">
        <v>35</v>
      </c>
      <c r="AH305" s="44" t="s">
        <v>35</v>
      </c>
      <c r="AI305" s="37">
        <v>21</v>
      </c>
      <c r="AJ305" s="35">
        <f t="shared" ref="AJ305:AJ309" si="299">AI305+AI306</f>
        <v>30</v>
      </c>
      <c r="AK305" s="35">
        <v>0</v>
      </c>
      <c r="AL305" s="35">
        <f t="shared" si="297"/>
        <v>13.5</v>
      </c>
      <c r="AM305" s="36">
        <f t="shared" ref="AM305:AM309" si="300">J306+K306+Q306+R306+X306+Y306+AE306+AF306</f>
        <v>10.5</v>
      </c>
      <c r="AN305" s="36">
        <f t="shared" ref="AN305:AN309" si="301">W306</f>
        <v>0</v>
      </c>
      <c r="AO305" s="36">
        <f t="shared" si="298"/>
        <v>168</v>
      </c>
      <c r="AP305" s="36">
        <f t="shared" ref="AP305:AP309" si="302">AL305+AM305+AN305+AO305-AQ305-AS305-AT305-AV305-AW305-AX305-AY305-AZ305-AU305</f>
        <v>192</v>
      </c>
      <c r="AQ305" s="36">
        <v>0</v>
      </c>
      <c r="AR305" s="36">
        <v>0</v>
      </c>
      <c r="AS305" s="36">
        <v>0</v>
      </c>
      <c r="AT305" s="36">
        <v>0</v>
      </c>
      <c r="AU305" s="36">
        <v>0</v>
      </c>
      <c r="AV305" s="36">
        <v>0</v>
      </c>
      <c r="AW305" s="36">
        <v>0</v>
      </c>
      <c r="AX305" s="36">
        <v>0</v>
      </c>
      <c r="AY305" s="36">
        <v>0</v>
      </c>
      <c r="AZ305" s="36">
        <v>0</v>
      </c>
    </row>
    <row r="306" s="24" customFormat="1" ht="21" customHeight="1" spans="1:52">
      <c r="A306" s="42"/>
      <c r="B306" s="43"/>
      <c r="C306" s="42"/>
      <c r="D306" s="37" t="s">
        <v>37</v>
      </c>
      <c r="E306" s="38"/>
      <c r="F306" s="38"/>
      <c r="G306" s="38"/>
      <c r="H306" s="38"/>
      <c r="I306" s="38"/>
      <c r="J306" s="39">
        <v>6</v>
      </c>
      <c r="K306" s="39"/>
      <c r="L306" s="44">
        <v>1.5</v>
      </c>
      <c r="M306" s="38"/>
      <c r="N306" s="38">
        <v>2</v>
      </c>
      <c r="O306" s="38"/>
      <c r="P306" s="44">
        <v>1.5</v>
      </c>
      <c r="Q306" s="39">
        <v>4.5</v>
      </c>
      <c r="R306" s="39"/>
      <c r="S306" s="44">
        <v>1.5</v>
      </c>
      <c r="T306" s="44">
        <v>1.5</v>
      </c>
      <c r="U306" s="38"/>
      <c r="V306" s="38"/>
      <c r="W306" s="40"/>
      <c r="X306" s="39"/>
      <c r="Y306" s="39"/>
      <c r="Z306" s="38"/>
      <c r="AA306" s="38"/>
      <c r="AB306" s="44">
        <v>1.5</v>
      </c>
      <c r="AC306" s="38"/>
      <c r="AD306" s="38"/>
      <c r="AE306" s="39"/>
      <c r="AF306" s="39"/>
      <c r="AG306" s="44">
        <v>1.5</v>
      </c>
      <c r="AH306" s="38">
        <v>2.5</v>
      </c>
      <c r="AI306" s="37">
        <v>9</v>
      </c>
      <c r="AJ306" s="43"/>
      <c r="AK306" s="43"/>
      <c r="AL306" s="43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</row>
    <row r="307" s="24" customFormat="1" ht="21" customHeight="1" spans="1:52">
      <c r="A307" s="36">
        <v>152</v>
      </c>
      <c r="B307" s="35" t="s">
        <v>32</v>
      </c>
      <c r="C307" s="36" t="s">
        <v>238</v>
      </c>
      <c r="D307" s="37" t="s">
        <v>34</v>
      </c>
      <c r="E307" s="44" t="s">
        <v>35</v>
      </c>
      <c r="F307" s="44" t="s">
        <v>35</v>
      </c>
      <c r="G307" s="44" t="s">
        <v>35</v>
      </c>
      <c r="H307" s="44" t="s">
        <v>35</v>
      </c>
      <c r="I307" s="44" t="s">
        <v>35</v>
      </c>
      <c r="J307" s="39" t="s">
        <v>36</v>
      </c>
      <c r="K307" s="39" t="s">
        <v>36</v>
      </c>
      <c r="L307" s="44" t="s">
        <v>35</v>
      </c>
      <c r="M307" s="44" t="s">
        <v>35</v>
      </c>
      <c r="N307" s="44" t="s">
        <v>35</v>
      </c>
      <c r="O307" s="44" t="s">
        <v>35</v>
      </c>
      <c r="P307" s="44" t="s">
        <v>35</v>
      </c>
      <c r="Q307" s="39"/>
      <c r="R307" s="39"/>
      <c r="S307" s="44" t="s">
        <v>35</v>
      </c>
      <c r="T307" s="44" t="s">
        <v>35</v>
      </c>
      <c r="U307" s="44" t="s">
        <v>35</v>
      </c>
      <c r="V307" s="44" t="s">
        <v>35</v>
      </c>
      <c r="W307" s="40"/>
      <c r="X307" s="39"/>
      <c r="Y307" s="39"/>
      <c r="Z307" s="44" t="s">
        <v>35</v>
      </c>
      <c r="AA307" s="44" t="s">
        <v>35</v>
      </c>
      <c r="AB307" s="44" t="s">
        <v>35</v>
      </c>
      <c r="AC307" s="44" t="s">
        <v>35</v>
      </c>
      <c r="AD307" s="44" t="s">
        <v>35</v>
      </c>
      <c r="AE307" s="39"/>
      <c r="AF307" s="39"/>
      <c r="AG307" s="44" t="s">
        <v>35</v>
      </c>
      <c r="AH307" s="44" t="s">
        <v>35</v>
      </c>
      <c r="AI307" s="37">
        <v>21</v>
      </c>
      <c r="AJ307" s="35">
        <f t="shared" si="299"/>
        <v>47</v>
      </c>
      <c r="AK307" s="35">
        <v>0</v>
      </c>
      <c r="AL307" s="35">
        <f t="shared" si="297"/>
        <v>70.5</v>
      </c>
      <c r="AM307" s="36">
        <f t="shared" si="300"/>
        <v>39.5</v>
      </c>
      <c r="AN307" s="36">
        <f t="shared" si="301"/>
        <v>8</v>
      </c>
      <c r="AO307" s="36">
        <f t="shared" si="298"/>
        <v>168</v>
      </c>
      <c r="AP307" s="36">
        <f t="shared" si="302"/>
        <v>286</v>
      </c>
      <c r="AQ307" s="36">
        <v>0</v>
      </c>
      <c r="AR307" s="36">
        <v>0</v>
      </c>
      <c r="AS307" s="36">
        <v>0</v>
      </c>
      <c r="AT307" s="36">
        <v>0</v>
      </c>
      <c r="AU307" s="36">
        <v>0</v>
      </c>
      <c r="AV307" s="36">
        <v>0</v>
      </c>
      <c r="AW307" s="36">
        <v>0</v>
      </c>
      <c r="AX307" s="36">
        <v>0</v>
      </c>
      <c r="AY307" s="36">
        <v>0</v>
      </c>
      <c r="AZ307" s="36">
        <v>0</v>
      </c>
    </row>
    <row r="308" s="24" customFormat="1" ht="21" customHeight="1" spans="1:52">
      <c r="A308" s="42"/>
      <c r="B308" s="43"/>
      <c r="C308" s="42"/>
      <c r="D308" s="37" t="s">
        <v>37</v>
      </c>
      <c r="E308" s="38">
        <v>2</v>
      </c>
      <c r="F308" s="38">
        <v>2</v>
      </c>
      <c r="G308" s="38">
        <v>2.5</v>
      </c>
      <c r="H308" s="38"/>
      <c r="I308" s="38"/>
      <c r="J308" s="39"/>
      <c r="K308" s="39"/>
      <c r="L308" s="38">
        <v>4</v>
      </c>
      <c r="M308" s="38">
        <v>4</v>
      </c>
      <c r="N308" s="38">
        <v>3.5</v>
      </c>
      <c r="O308" s="38">
        <v>2.5</v>
      </c>
      <c r="P308" s="38">
        <v>2</v>
      </c>
      <c r="Q308" s="39">
        <v>3</v>
      </c>
      <c r="R308" s="39">
        <v>7</v>
      </c>
      <c r="S308" s="38">
        <v>5</v>
      </c>
      <c r="T308" s="38">
        <v>5</v>
      </c>
      <c r="U308" s="38">
        <v>5</v>
      </c>
      <c r="V308" s="38">
        <v>4.5</v>
      </c>
      <c r="W308" s="40">
        <v>8</v>
      </c>
      <c r="X308" s="39">
        <v>10.5</v>
      </c>
      <c r="Y308" s="39">
        <v>5</v>
      </c>
      <c r="Z308" s="38">
        <v>4.5</v>
      </c>
      <c r="AA308" s="38">
        <v>5</v>
      </c>
      <c r="AB308" s="38">
        <v>5</v>
      </c>
      <c r="AC308" s="38">
        <v>5</v>
      </c>
      <c r="AD308" s="38">
        <v>2</v>
      </c>
      <c r="AE308" s="39">
        <v>6</v>
      </c>
      <c r="AF308" s="39">
        <v>8</v>
      </c>
      <c r="AG308" s="38">
        <v>3</v>
      </c>
      <c r="AH308" s="38">
        <v>4</v>
      </c>
      <c r="AI308" s="37">
        <v>26</v>
      </c>
      <c r="AJ308" s="43"/>
      <c r="AK308" s="43"/>
      <c r="AL308" s="43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</row>
    <row r="309" s="24" customFormat="1" ht="21" customHeight="1" spans="1:52">
      <c r="A309" s="36">
        <v>153</v>
      </c>
      <c r="B309" s="35" t="s">
        <v>32</v>
      </c>
      <c r="C309" s="36" t="s">
        <v>239</v>
      </c>
      <c r="D309" s="37" t="s">
        <v>34</v>
      </c>
      <c r="E309" s="44" t="s">
        <v>35</v>
      </c>
      <c r="F309" s="44" t="s">
        <v>35</v>
      </c>
      <c r="G309" s="44" t="s">
        <v>35</v>
      </c>
      <c r="H309" s="44" t="s">
        <v>35</v>
      </c>
      <c r="I309" s="44" t="s">
        <v>35</v>
      </c>
      <c r="J309" s="39" t="s">
        <v>36</v>
      </c>
      <c r="K309" s="39" t="s">
        <v>36</v>
      </c>
      <c r="L309" s="44" t="s">
        <v>35</v>
      </c>
      <c r="M309" s="44" t="s">
        <v>35</v>
      </c>
      <c r="N309" s="44" t="s">
        <v>35</v>
      </c>
      <c r="O309" s="44" t="s">
        <v>35</v>
      </c>
      <c r="P309" s="44" t="s">
        <v>35</v>
      </c>
      <c r="Q309" s="39"/>
      <c r="R309" s="39" t="s">
        <v>36</v>
      </c>
      <c r="S309" s="44" t="s">
        <v>35</v>
      </c>
      <c r="T309" s="44" t="s">
        <v>35</v>
      </c>
      <c r="U309" s="44" t="s">
        <v>35</v>
      </c>
      <c r="V309" s="44" t="s">
        <v>39</v>
      </c>
      <c r="W309" s="40"/>
      <c r="X309" s="39" t="s">
        <v>36</v>
      </c>
      <c r="Y309" s="39" t="s">
        <v>36</v>
      </c>
      <c r="Z309" s="44" t="s">
        <v>35</v>
      </c>
      <c r="AA309" s="44" t="s">
        <v>35</v>
      </c>
      <c r="AB309" s="44" t="s">
        <v>35</v>
      </c>
      <c r="AC309" s="44" t="s">
        <v>35</v>
      </c>
      <c r="AD309" s="44" t="s">
        <v>35</v>
      </c>
      <c r="AE309" s="39"/>
      <c r="AF309" s="39" t="s">
        <v>36</v>
      </c>
      <c r="AG309" s="44" t="s">
        <v>35</v>
      </c>
      <c r="AH309" s="44" t="s">
        <v>35</v>
      </c>
      <c r="AI309" s="50">
        <v>20</v>
      </c>
      <c r="AJ309" s="51">
        <f t="shared" si="299"/>
        <v>33</v>
      </c>
      <c r="AK309" s="35">
        <v>1</v>
      </c>
      <c r="AL309" s="35">
        <f t="shared" ref="AL309:AL313" si="303">E310+F310+G310+H310+I310+L310+M310+N310+O310+P310+S310+T310+U310+V310+Z310+AA310+AB310+AC310+AD310+AG310+AH310</f>
        <v>20.5</v>
      </c>
      <c r="AM309" s="36">
        <f t="shared" si="300"/>
        <v>10.5</v>
      </c>
      <c r="AN309" s="36">
        <f t="shared" si="301"/>
        <v>6.5</v>
      </c>
      <c r="AO309" s="36">
        <f t="shared" ref="AO309:AO313" si="304">21*8</f>
        <v>168</v>
      </c>
      <c r="AP309" s="54">
        <f t="shared" si="302"/>
        <v>205.5</v>
      </c>
      <c r="AQ309" s="54">
        <v>0</v>
      </c>
      <c r="AR309" s="36">
        <v>0</v>
      </c>
      <c r="AS309" s="36">
        <v>0</v>
      </c>
      <c r="AT309" s="36">
        <v>0</v>
      </c>
      <c r="AU309" s="36">
        <v>0</v>
      </c>
      <c r="AV309" s="36">
        <v>0</v>
      </c>
      <c r="AW309" s="36">
        <v>0</v>
      </c>
      <c r="AX309" s="36">
        <v>0</v>
      </c>
      <c r="AY309" s="36">
        <v>0</v>
      </c>
      <c r="AZ309" s="36">
        <v>0</v>
      </c>
    </row>
    <row r="310" s="24" customFormat="1" ht="21" customHeight="1" spans="1:52">
      <c r="A310" s="42"/>
      <c r="B310" s="43"/>
      <c r="C310" s="42"/>
      <c r="D310" s="37" t="s">
        <v>37</v>
      </c>
      <c r="E310" s="38"/>
      <c r="F310" s="38"/>
      <c r="G310" s="38">
        <v>2</v>
      </c>
      <c r="H310" s="44">
        <v>1.5</v>
      </c>
      <c r="I310" s="38"/>
      <c r="J310" s="39"/>
      <c r="K310" s="39"/>
      <c r="L310" s="38">
        <v>2</v>
      </c>
      <c r="M310" s="38">
        <v>3</v>
      </c>
      <c r="N310" s="38"/>
      <c r="O310" s="44">
        <v>1.5</v>
      </c>
      <c r="P310" s="38"/>
      <c r="Q310" s="39">
        <v>4.5</v>
      </c>
      <c r="R310" s="39"/>
      <c r="S310" s="44">
        <v>1.5</v>
      </c>
      <c r="T310" s="38"/>
      <c r="U310" s="38"/>
      <c r="V310" s="38"/>
      <c r="W310" s="40">
        <v>6.5</v>
      </c>
      <c r="X310" s="39"/>
      <c r="Y310" s="39"/>
      <c r="Z310" s="44">
        <v>1.5</v>
      </c>
      <c r="AA310" s="38"/>
      <c r="AB310" s="38">
        <v>1</v>
      </c>
      <c r="AC310" s="38"/>
      <c r="AD310" s="38">
        <v>2.5</v>
      </c>
      <c r="AE310" s="39">
        <v>6</v>
      </c>
      <c r="AF310" s="39"/>
      <c r="AG310" s="38">
        <v>3</v>
      </c>
      <c r="AH310" s="38">
        <v>1</v>
      </c>
      <c r="AI310" s="50">
        <v>13</v>
      </c>
      <c r="AJ310" s="56"/>
      <c r="AK310" s="43"/>
      <c r="AL310" s="43"/>
      <c r="AM310" s="42"/>
      <c r="AN310" s="42"/>
      <c r="AO310" s="42"/>
      <c r="AP310" s="59"/>
      <c r="AQ310" s="59"/>
      <c r="AR310" s="42"/>
      <c r="AS310" s="42"/>
      <c r="AT310" s="42"/>
      <c r="AU310" s="42"/>
      <c r="AV310" s="42"/>
      <c r="AW310" s="42"/>
      <c r="AX310" s="42"/>
      <c r="AY310" s="42"/>
      <c r="AZ310" s="42"/>
    </row>
    <row r="311" s="24" customFormat="1" ht="21" customHeight="1" spans="1:52">
      <c r="A311" s="36">
        <v>154</v>
      </c>
      <c r="B311" s="35" t="s">
        <v>32</v>
      </c>
      <c r="C311" s="36" t="s">
        <v>240</v>
      </c>
      <c r="D311" s="37" t="s">
        <v>34</v>
      </c>
      <c r="E311" s="44" t="s">
        <v>54</v>
      </c>
      <c r="F311" s="44" t="s">
        <v>35</v>
      </c>
      <c r="G311" s="44" t="s">
        <v>39</v>
      </c>
      <c r="H311" s="44" t="s">
        <v>35</v>
      </c>
      <c r="I311" s="44" t="s">
        <v>35</v>
      </c>
      <c r="J311" s="39" t="s">
        <v>39</v>
      </c>
      <c r="K311" s="39" t="s">
        <v>39</v>
      </c>
      <c r="L311" s="44" t="s">
        <v>39</v>
      </c>
      <c r="M311" s="44" t="s">
        <v>39</v>
      </c>
      <c r="N311" s="44" t="s">
        <v>35</v>
      </c>
      <c r="O311" s="44" t="s">
        <v>35</v>
      </c>
      <c r="P311" s="44" t="s">
        <v>35</v>
      </c>
      <c r="Q311" s="39" t="s">
        <v>36</v>
      </c>
      <c r="R311" s="39"/>
      <c r="S311" s="44" t="s">
        <v>35</v>
      </c>
      <c r="T311" s="44" t="s">
        <v>35</v>
      </c>
      <c r="U311" s="44" t="s">
        <v>35</v>
      </c>
      <c r="V311" s="44" t="s">
        <v>35</v>
      </c>
      <c r="W311" s="40" t="s">
        <v>36</v>
      </c>
      <c r="X311" s="39" t="s">
        <v>36</v>
      </c>
      <c r="Y311" s="39" t="s">
        <v>36</v>
      </c>
      <c r="Z311" s="44" t="s">
        <v>35</v>
      </c>
      <c r="AA311" s="44" t="s">
        <v>35</v>
      </c>
      <c r="AB311" s="44" t="s">
        <v>35</v>
      </c>
      <c r="AC311" s="44" t="s">
        <v>35</v>
      </c>
      <c r="AD311" s="44" t="s">
        <v>35</v>
      </c>
      <c r="AE311" s="39"/>
      <c r="AF311" s="39"/>
      <c r="AG311" s="44" t="s">
        <v>35</v>
      </c>
      <c r="AH311" s="44" t="s">
        <v>35</v>
      </c>
      <c r="AI311" s="37">
        <v>17</v>
      </c>
      <c r="AJ311" s="35">
        <f t="shared" ref="AJ311:AJ315" si="305">AI311+AI312</f>
        <v>35</v>
      </c>
      <c r="AK311" s="35">
        <v>5</v>
      </c>
      <c r="AL311" s="35">
        <f t="shared" si="303"/>
        <v>68</v>
      </c>
      <c r="AM311" s="36">
        <f t="shared" ref="AM311:AM315" si="306">J312+K312+Q312+R312+X312+Y312+AE312+AF312</f>
        <v>38.5</v>
      </c>
      <c r="AN311" s="36">
        <f t="shared" ref="AN311:AN315" si="307">W312</f>
        <v>0</v>
      </c>
      <c r="AO311" s="36">
        <f t="shared" si="304"/>
        <v>168</v>
      </c>
      <c r="AP311" s="36">
        <f t="shared" ref="AP311:AP315" si="308">AL311+AM311+AN311+AO311-AQ311-AS311-AT311-AV311-AW311-AX311-AY311-AZ311-AU311</f>
        <v>266.5</v>
      </c>
      <c r="AQ311" s="36">
        <v>8</v>
      </c>
      <c r="AR311" s="36">
        <f>27-AQ311</f>
        <v>19</v>
      </c>
      <c r="AS311" s="36">
        <v>0</v>
      </c>
      <c r="AT311" s="36">
        <v>0</v>
      </c>
      <c r="AU311" s="36">
        <v>0</v>
      </c>
      <c r="AV311" s="36">
        <v>0</v>
      </c>
      <c r="AW311" s="36">
        <v>0</v>
      </c>
      <c r="AX311" s="36">
        <v>0</v>
      </c>
      <c r="AY311" s="36">
        <v>0</v>
      </c>
      <c r="AZ311" s="36">
        <v>0</v>
      </c>
    </row>
    <row r="312" s="24" customFormat="1" ht="21" customHeight="1" spans="1:52">
      <c r="A312" s="42"/>
      <c r="B312" s="43"/>
      <c r="C312" s="42"/>
      <c r="D312" s="37" t="s">
        <v>37</v>
      </c>
      <c r="E312" s="38"/>
      <c r="F312" s="38">
        <v>2.5</v>
      </c>
      <c r="G312" s="38">
        <v>3</v>
      </c>
      <c r="H312" s="38">
        <v>2</v>
      </c>
      <c r="I312" s="38"/>
      <c r="J312" s="39">
        <v>2</v>
      </c>
      <c r="K312" s="39">
        <v>12</v>
      </c>
      <c r="L312" s="38">
        <v>9</v>
      </c>
      <c r="M312" s="38">
        <v>1.5</v>
      </c>
      <c r="N312" s="38">
        <v>3.5</v>
      </c>
      <c r="O312" s="44">
        <v>1.5</v>
      </c>
      <c r="P312" s="44">
        <v>1.5</v>
      </c>
      <c r="Q312" s="39"/>
      <c r="R312" s="39">
        <v>8</v>
      </c>
      <c r="S312" s="38">
        <v>5</v>
      </c>
      <c r="T312" s="38">
        <v>5</v>
      </c>
      <c r="U312" s="38">
        <v>5</v>
      </c>
      <c r="V312" s="38"/>
      <c r="W312" s="40"/>
      <c r="X312" s="39"/>
      <c r="Y312" s="39"/>
      <c r="Z312" s="38">
        <v>4.5</v>
      </c>
      <c r="AA312" s="38">
        <v>5</v>
      </c>
      <c r="AB312" s="38">
        <v>5</v>
      </c>
      <c r="AC312" s="38">
        <v>5</v>
      </c>
      <c r="AD312" s="38">
        <v>2</v>
      </c>
      <c r="AE312" s="39">
        <v>8.5</v>
      </c>
      <c r="AF312" s="39">
        <v>8</v>
      </c>
      <c r="AG312" s="38">
        <v>3</v>
      </c>
      <c r="AH312" s="38">
        <v>4</v>
      </c>
      <c r="AI312" s="37">
        <v>18</v>
      </c>
      <c r="AJ312" s="43"/>
      <c r="AK312" s="43"/>
      <c r="AL312" s="43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</row>
    <row r="313" s="24" customFormat="1" ht="21" customHeight="1" spans="1:52">
      <c r="A313" s="36">
        <v>155</v>
      </c>
      <c r="B313" s="35" t="s">
        <v>32</v>
      </c>
      <c r="C313" s="36" t="s">
        <v>241</v>
      </c>
      <c r="D313" s="37" t="s">
        <v>34</v>
      </c>
      <c r="E313" s="44" t="s">
        <v>35</v>
      </c>
      <c r="F313" s="44" t="s">
        <v>35</v>
      </c>
      <c r="G313" s="44" t="s">
        <v>35</v>
      </c>
      <c r="H313" s="44" t="s">
        <v>35</v>
      </c>
      <c r="I313" s="44" t="s">
        <v>35</v>
      </c>
      <c r="J313" s="39" t="s">
        <v>36</v>
      </c>
      <c r="K313" s="39" t="s">
        <v>36</v>
      </c>
      <c r="L313" s="44" t="s">
        <v>35</v>
      </c>
      <c r="M313" s="44" t="s">
        <v>35</v>
      </c>
      <c r="N313" s="44" t="s">
        <v>35</v>
      </c>
      <c r="O313" s="44" t="s">
        <v>35</v>
      </c>
      <c r="P313" s="44" t="s">
        <v>35</v>
      </c>
      <c r="Q313" s="39" t="s">
        <v>36</v>
      </c>
      <c r="R313" s="39" t="s">
        <v>36</v>
      </c>
      <c r="S313" s="44" t="s">
        <v>35</v>
      </c>
      <c r="T313" s="44" t="s">
        <v>35</v>
      </c>
      <c r="U313" s="44" t="s">
        <v>35</v>
      </c>
      <c r="V313" s="44" t="s">
        <v>35</v>
      </c>
      <c r="W313" s="40" t="s">
        <v>36</v>
      </c>
      <c r="X313" s="39" t="s">
        <v>36</v>
      </c>
      <c r="Y313" s="39" t="s">
        <v>36</v>
      </c>
      <c r="Z313" s="44" t="s">
        <v>35</v>
      </c>
      <c r="AA313" s="44" t="s">
        <v>35</v>
      </c>
      <c r="AB313" s="44" t="s">
        <v>35</v>
      </c>
      <c r="AC313" s="44" t="s">
        <v>35</v>
      </c>
      <c r="AD313" s="44" t="s">
        <v>35</v>
      </c>
      <c r="AE313" s="39" t="s">
        <v>36</v>
      </c>
      <c r="AF313" s="39" t="s">
        <v>36</v>
      </c>
      <c r="AG313" s="44" t="s">
        <v>35</v>
      </c>
      <c r="AH313" s="44" t="s">
        <v>35</v>
      </c>
      <c r="AI313" s="37">
        <v>21</v>
      </c>
      <c r="AJ313" s="35">
        <f t="shared" si="305"/>
        <v>21</v>
      </c>
      <c r="AK313" s="35">
        <v>0</v>
      </c>
      <c r="AL313" s="35">
        <f t="shared" si="303"/>
        <v>0</v>
      </c>
      <c r="AM313" s="36">
        <f t="shared" si="306"/>
        <v>0</v>
      </c>
      <c r="AN313" s="36">
        <f t="shared" si="307"/>
        <v>0</v>
      </c>
      <c r="AO313" s="36">
        <f t="shared" si="304"/>
        <v>168</v>
      </c>
      <c r="AP313" s="36">
        <f t="shared" si="308"/>
        <v>168</v>
      </c>
      <c r="AQ313" s="36">
        <v>0</v>
      </c>
      <c r="AR313" s="36">
        <v>0</v>
      </c>
      <c r="AS313" s="36">
        <v>0</v>
      </c>
      <c r="AT313" s="36">
        <v>0</v>
      </c>
      <c r="AU313" s="36">
        <v>0</v>
      </c>
      <c r="AV313" s="36">
        <v>0</v>
      </c>
      <c r="AW313" s="36">
        <v>0</v>
      </c>
      <c r="AX313" s="36">
        <v>0</v>
      </c>
      <c r="AY313" s="36">
        <v>0</v>
      </c>
      <c r="AZ313" s="36">
        <v>0</v>
      </c>
    </row>
    <row r="314" s="24" customFormat="1" ht="21" customHeight="1" spans="1:52">
      <c r="A314" s="42"/>
      <c r="B314" s="43"/>
      <c r="C314" s="42"/>
      <c r="D314" s="37" t="s">
        <v>37</v>
      </c>
      <c r="E314" s="38"/>
      <c r="F314" s="38"/>
      <c r="G314" s="38"/>
      <c r="H314" s="38"/>
      <c r="I314" s="38"/>
      <c r="J314" s="39"/>
      <c r="K314" s="39"/>
      <c r="L314" s="38"/>
      <c r="M314" s="38"/>
      <c r="N314" s="38"/>
      <c r="O314" s="38"/>
      <c r="P314" s="38"/>
      <c r="Q314" s="39"/>
      <c r="R314" s="39"/>
      <c r="S314" s="38"/>
      <c r="T314" s="38"/>
      <c r="U314" s="38"/>
      <c r="V314" s="38"/>
      <c r="W314" s="40"/>
      <c r="X314" s="39"/>
      <c r="Y314" s="39"/>
      <c r="Z314" s="38"/>
      <c r="AA314" s="38"/>
      <c r="AB314" s="38"/>
      <c r="AC314" s="38"/>
      <c r="AD314" s="38"/>
      <c r="AE314" s="39"/>
      <c r="AF314" s="39"/>
      <c r="AG314" s="38"/>
      <c r="AH314" s="38"/>
      <c r="AI314" s="37">
        <v>0</v>
      </c>
      <c r="AJ314" s="43"/>
      <c r="AK314" s="43"/>
      <c r="AL314" s="43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</row>
    <row r="315" s="24" customFormat="1" ht="21" customHeight="1" spans="1:52">
      <c r="A315" s="36">
        <v>156</v>
      </c>
      <c r="B315" s="35" t="s">
        <v>32</v>
      </c>
      <c r="C315" s="36" t="s">
        <v>242</v>
      </c>
      <c r="D315" s="37" t="s">
        <v>34</v>
      </c>
      <c r="E315" s="44" t="s">
        <v>39</v>
      </c>
      <c r="F315" s="44" t="s">
        <v>39</v>
      </c>
      <c r="G315" s="44" t="s">
        <v>39</v>
      </c>
      <c r="H315" s="44" t="s">
        <v>39</v>
      </c>
      <c r="I315" s="44" t="s">
        <v>39</v>
      </c>
      <c r="J315" s="39" t="s">
        <v>39</v>
      </c>
      <c r="K315" s="39" t="s">
        <v>39</v>
      </c>
      <c r="L315" s="44" t="s">
        <v>39</v>
      </c>
      <c r="M315" s="44" t="s">
        <v>39</v>
      </c>
      <c r="N315" s="44" t="s">
        <v>39</v>
      </c>
      <c r="O315" s="44" t="s">
        <v>92</v>
      </c>
      <c r="P315" s="44" t="s">
        <v>39</v>
      </c>
      <c r="Q315" s="39" t="s">
        <v>39</v>
      </c>
      <c r="R315" s="39" t="s">
        <v>39</v>
      </c>
      <c r="S315" s="44" t="s">
        <v>39</v>
      </c>
      <c r="T315" s="44" t="s">
        <v>39</v>
      </c>
      <c r="U315" s="44" t="s">
        <v>39</v>
      </c>
      <c r="V315" s="44" t="s">
        <v>39</v>
      </c>
      <c r="W315" s="40" t="s">
        <v>36</v>
      </c>
      <c r="X315" s="39" t="s">
        <v>36</v>
      </c>
      <c r="Y315" s="39" t="s">
        <v>36</v>
      </c>
      <c r="Z315" s="44" t="s">
        <v>39</v>
      </c>
      <c r="AA315" s="44" t="s">
        <v>39</v>
      </c>
      <c r="AB315" s="44" t="s">
        <v>39</v>
      </c>
      <c r="AC315" s="44" t="s">
        <v>39</v>
      </c>
      <c r="AD315" s="44" t="s">
        <v>39</v>
      </c>
      <c r="AE315" s="39" t="s">
        <v>39</v>
      </c>
      <c r="AF315" s="39" t="s">
        <v>39</v>
      </c>
      <c r="AG315" s="44" t="s">
        <v>39</v>
      </c>
      <c r="AH315" s="44" t="s">
        <v>39</v>
      </c>
      <c r="AI315" s="37">
        <v>0</v>
      </c>
      <c r="AJ315" s="35">
        <f t="shared" si="305"/>
        <v>0</v>
      </c>
      <c r="AK315" s="35">
        <v>27</v>
      </c>
      <c r="AL315" s="35">
        <f t="shared" ref="AL315:AL319" si="309">E316+F316+G316+H316+I316+L316+M316+N316+O316+P316+S316+T316+U316+V316+Z316+AA316+AB316+AC316+AD316+AG316+AH316</f>
        <v>52</v>
      </c>
      <c r="AM315" s="36">
        <f t="shared" si="306"/>
        <v>22</v>
      </c>
      <c r="AN315" s="36">
        <f t="shared" si="307"/>
        <v>0</v>
      </c>
      <c r="AO315" s="36">
        <f t="shared" ref="AO315:AO319" si="310">21*8</f>
        <v>168</v>
      </c>
      <c r="AP315" s="36">
        <f t="shared" si="308"/>
        <v>240</v>
      </c>
      <c r="AQ315" s="36">
        <v>0</v>
      </c>
      <c r="AR315" s="36">
        <v>0</v>
      </c>
      <c r="AS315" s="36">
        <v>0</v>
      </c>
      <c r="AT315" s="36">
        <v>2</v>
      </c>
      <c r="AU315" s="36">
        <v>0</v>
      </c>
      <c r="AV315" s="36">
        <v>0</v>
      </c>
      <c r="AW315" s="36">
        <v>0</v>
      </c>
      <c r="AX315" s="36">
        <v>0</v>
      </c>
      <c r="AY315" s="36">
        <v>0</v>
      </c>
      <c r="AZ315" s="36">
        <v>0</v>
      </c>
    </row>
    <row r="316" s="24" customFormat="1" ht="21" customHeight="1" spans="1:52">
      <c r="A316" s="42"/>
      <c r="B316" s="43"/>
      <c r="C316" s="42"/>
      <c r="D316" s="37" t="s">
        <v>37</v>
      </c>
      <c r="E316" s="38"/>
      <c r="F316" s="38">
        <v>2</v>
      </c>
      <c r="G316" s="38"/>
      <c r="H316" s="38">
        <v>3</v>
      </c>
      <c r="I316" s="38">
        <v>3</v>
      </c>
      <c r="J316" s="39">
        <v>1</v>
      </c>
      <c r="K316" s="39">
        <v>3.5</v>
      </c>
      <c r="L316" s="38">
        <v>6</v>
      </c>
      <c r="M316" s="38">
        <v>13</v>
      </c>
      <c r="N316" s="38">
        <v>8.5</v>
      </c>
      <c r="O316" s="38">
        <v>4</v>
      </c>
      <c r="P316" s="38">
        <v>1.5</v>
      </c>
      <c r="Q316" s="39"/>
      <c r="R316" s="39">
        <v>9</v>
      </c>
      <c r="S316" s="38">
        <v>2</v>
      </c>
      <c r="T316" s="38">
        <v>2</v>
      </c>
      <c r="U316" s="38"/>
      <c r="V316" s="38"/>
      <c r="W316" s="40"/>
      <c r="X316" s="39"/>
      <c r="Y316" s="39"/>
      <c r="Z316" s="38">
        <v>2</v>
      </c>
      <c r="AA316" s="38">
        <v>1</v>
      </c>
      <c r="AB316" s="38">
        <v>1.5</v>
      </c>
      <c r="AC316" s="38"/>
      <c r="AD316" s="38">
        <v>2.5</v>
      </c>
      <c r="AE316" s="39">
        <v>5.5</v>
      </c>
      <c r="AF316" s="39">
        <v>3</v>
      </c>
      <c r="AG316" s="38"/>
      <c r="AH316" s="38"/>
      <c r="AI316" s="37">
        <v>0</v>
      </c>
      <c r="AJ316" s="43"/>
      <c r="AK316" s="43"/>
      <c r="AL316" s="43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</row>
    <row r="317" s="24" customFormat="1" ht="21" customHeight="1" spans="1:52">
      <c r="A317" s="36">
        <v>157</v>
      </c>
      <c r="B317" s="35" t="s">
        <v>32</v>
      </c>
      <c r="C317" s="36" t="s">
        <v>243</v>
      </c>
      <c r="D317" s="37" t="s">
        <v>34</v>
      </c>
      <c r="E317" s="44" t="s">
        <v>35</v>
      </c>
      <c r="F317" s="44" t="s">
        <v>35</v>
      </c>
      <c r="G317" s="44" t="s">
        <v>35</v>
      </c>
      <c r="H317" s="44" t="s">
        <v>35</v>
      </c>
      <c r="I317" s="44" t="s">
        <v>35</v>
      </c>
      <c r="J317" s="39"/>
      <c r="K317" s="39" t="s">
        <v>36</v>
      </c>
      <c r="L317" s="44" t="s">
        <v>35</v>
      </c>
      <c r="M317" s="44" t="s">
        <v>35</v>
      </c>
      <c r="N317" s="44" t="s">
        <v>35</v>
      </c>
      <c r="O317" s="44" t="s">
        <v>35</v>
      </c>
      <c r="P317" s="44" t="s">
        <v>35</v>
      </c>
      <c r="Q317" s="39"/>
      <c r="R317" s="39" t="s">
        <v>36</v>
      </c>
      <c r="S317" s="44" t="s">
        <v>35</v>
      </c>
      <c r="T317" s="44" t="s">
        <v>35</v>
      </c>
      <c r="U317" s="44" t="s">
        <v>35</v>
      </c>
      <c r="V317" s="44" t="s">
        <v>35</v>
      </c>
      <c r="W317" s="40" t="s">
        <v>36</v>
      </c>
      <c r="X317" s="39" t="s">
        <v>36</v>
      </c>
      <c r="Y317" s="39" t="s">
        <v>36</v>
      </c>
      <c r="Z317" s="44" t="s">
        <v>35</v>
      </c>
      <c r="AA317" s="44" t="s">
        <v>35</v>
      </c>
      <c r="AB317" s="44" t="s">
        <v>35</v>
      </c>
      <c r="AC317" s="44" t="s">
        <v>35</v>
      </c>
      <c r="AD317" s="44" t="s">
        <v>35</v>
      </c>
      <c r="AE317" s="39" t="s">
        <v>36</v>
      </c>
      <c r="AF317" s="39" t="s">
        <v>36</v>
      </c>
      <c r="AG317" s="44" t="s">
        <v>35</v>
      </c>
      <c r="AH317" s="44" t="s">
        <v>35</v>
      </c>
      <c r="AI317" s="37">
        <v>21</v>
      </c>
      <c r="AJ317" s="35">
        <f t="shared" ref="AJ317:AJ321" si="311">AI317+AI318</f>
        <v>29</v>
      </c>
      <c r="AK317" s="35">
        <v>0</v>
      </c>
      <c r="AL317" s="35">
        <f t="shared" si="309"/>
        <v>13.5</v>
      </c>
      <c r="AM317" s="36">
        <f t="shared" ref="AM317:AM321" si="312">J318+K318+Q318+R318+X318+Y318+AE318+AF318</f>
        <v>17</v>
      </c>
      <c r="AN317" s="36">
        <f t="shared" ref="AN317:AN321" si="313">W318</f>
        <v>0</v>
      </c>
      <c r="AO317" s="36">
        <f t="shared" si="310"/>
        <v>168</v>
      </c>
      <c r="AP317" s="36">
        <f t="shared" ref="AP317:AP321" si="314">AL317+AM317+AN317+AO317-AQ317-AS317-AT317-AV317-AW317-AX317-AY317-AZ317-AU317</f>
        <v>198.5</v>
      </c>
      <c r="AQ317" s="36">
        <v>0</v>
      </c>
      <c r="AR317" s="36">
        <v>0</v>
      </c>
      <c r="AS317" s="36">
        <v>0</v>
      </c>
      <c r="AT317" s="36">
        <v>0</v>
      </c>
      <c r="AU317" s="36">
        <v>0</v>
      </c>
      <c r="AV317" s="36">
        <v>0</v>
      </c>
      <c r="AW317" s="36">
        <v>0</v>
      </c>
      <c r="AX317" s="36">
        <v>0</v>
      </c>
      <c r="AY317" s="36">
        <v>0</v>
      </c>
      <c r="AZ317" s="36">
        <v>0</v>
      </c>
    </row>
    <row r="318" s="24" customFormat="1" ht="21" customHeight="1" spans="1:52">
      <c r="A318" s="42"/>
      <c r="B318" s="43"/>
      <c r="C318" s="42"/>
      <c r="D318" s="37" t="s">
        <v>37</v>
      </c>
      <c r="E318" s="38"/>
      <c r="F318" s="38"/>
      <c r="G318" s="38"/>
      <c r="H318" s="38">
        <v>2</v>
      </c>
      <c r="I318" s="38"/>
      <c r="J318" s="39">
        <v>9</v>
      </c>
      <c r="K318" s="39"/>
      <c r="L318" s="44">
        <v>1.5</v>
      </c>
      <c r="M318" s="38">
        <v>2.5</v>
      </c>
      <c r="N318" s="38">
        <v>3</v>
      </c>
      <c r="O318" s="38"/>
      <c r="P318" s="38"/>
      <c r="Q318" s="39">
        <v>8</v>
      </c>
      <c r="R318" s="39"/>
      <c r="S318" s="38"/>
      <c r="T318" s="38"/>
      <c r="U318" s="38"/>
      <c r="V318" s="38"/>
      <c r="W318" s="40"/>
      <c r="X318" s="39"/>
      <c r="Y318" s="39"/>
      <c r="Z318" s="38"/>
      <c r="AA318" s="38">
        <v>2.5</v>
      </c>
      <c r="AB318" s="38">
        <v>2</v>
      </c>
      <c r="AC318" s="38"/>
      <c r="AD318" s="38"/>
      <c r="AE318" s="39"/>
      <c r="AF318" s="39"/>
      <c r="AG318" s="38"/>
      <c r="AH318" s="38"/>
      <c r="AI318" s="37">
        <v>8</v>
      </c>
      <c r="AJ318" s="43"/>
      <c r="AK318" s="43"/>
      <c r="AL318" s="43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</row>
    <row r="319" s="24" customFormat="1" ht="21" customHeight="1" spans="1:52">
      <c r="A319" s="36">
        <v>158</v>
      </c>
      <c r="B319" s="35" t="s">
        <v>32</v>
      </c>
      <c r="C319" s="36" t="s">
        <v>244</v>
      </c>
      <c r="D319" s="37" t="s">
        <v>34</v>
      </c>
      <c r="E319" s="44" t="s">
        <v>39</v>
      </c>
      <c r="F319" s="44" t="s">
        <v>39</v>
      </c>
      <c r="G319" s="44" t="s">
        <v>39</v>
      </c>
      <c r="H319" s="44" t="s">
        <v>39</v>
      </c>
      <c r="I319" s="44" t="s">
        <v>39</v>
      </c>
      <c r="J319" s="39" t="s">
        <v>39</v>
      </c>
      <c r="K319" s="39" t="s">
        <v>39</v>
      </c>
      <c r="L319" s="44" t="s">
        <v>39</v>
      </c>
      <c r="M319" s="44" t="s">
        <v>39</v>
      </c>
      <c r="N319" s="44" t="s">
        <v>39</v>
      </c>
      <c r="O319" s="44" t="s">
        <v>35</v>
      </c>
      <c r="P319" s="44" t="s">
        <v>35</v>
      </c>
      <c r="Q319" s="39" t="s">
        <v>36</v>
      </c>
      <c r="R319" s="39" t="s">
        <v>36</v>
      </c>
      <c r="S319" s="44" t="s">
        <v>35</v>
      </c>
      <c r="T319" s="44" t="s">
        <v>35</v>
      </c>
      <c r="U319" s="44" t="s">
        <v>35</v>
      </c>
      <c r="V319" s="44" t="s">
        <v>35</v>
      </c>
      <c r="W319" s="40" t="s">
        <v>36</v>
      </c>
      <c r="X319" s="39" t="s">
        <v>36</v>
      </c>
      <c r="Y319" s="39" t="s">
        <v>36</v>
      </c>
      <c r="Z319" s="44" t="s">
        <v>35</v>
      </c>
      <c r="AA319" s="44" t="s">
        <v>35</v>
      </c>
      <c r="AB319" s="44" t="s">
        <v>35</v>
      </c>
      <c r="AC319" s="44" t="s">
        <v>35</v>
      </c>
      <c r="AD319" s="44" t="s">
        <v>35</v>
      </c>
      <c r="AE319" s="39" t="s">
        <v>36</v>
      </c>
      <c r="AF319" s="39" t="s">
        <v>36</v>
      </c>
      <c r="AG319" s="44" t="s">
        <v>35</v>
      </c>
      <c r="AH319" s="44" t="s">
        <v>35</v>
      </c>
      <c r="AI319" s="37">
        <v>13</v>
      </c>
      <c r="AJ319" s="35">
        <f t="shared" si="311"/>
        <v>15</v>
      </c>
      <c r="AK319" s="35">
        <v>10</v>
      </c>
      <c r="AL319" s="35">
        <f t="shared" si="309"/>
        <v>7</v>
      </c>
      <c r="AM319" s="36">
        <f t="shared" si="312"/>
        <v>0</v>
      </c>
      <c r="AN319" s="36">
        <f t="shared" si="313"/>
        <v>0</v>
      </c>
      <c r="AO319" s="36">
        <f t="shared" si="310"/>
        <v>168</v>
      </c>
      <c r="AP319" s="36">
        <f t="shared" si="314"/>
        <v>175</v>
      </c>
      <c r="AQ319" s="36">
        <v>0</v>
      </c>
      <c r="AR319" s="36">
        <v>0</v>
      </c>
      <c r="AS319" s="36">
        <v>0</v>
      </c>
      <c r="AT319" s="36">
        <v>0</v>
      </c>
      <c r="AU319" s="36">
        <v>0</v>
      </c>
      <c r="AV319" s="36">
        <v>0</v>
      </c>
      <c r="AW319" s="36">
        <v>0</v>
      </c>
      <c r="AX319" s="36">
        <v>0</v>
      </c>
      <c r="AY319" s="36">
        <v>0</v>
      </c>
      <c r="AZ319" s="36">
        <v>0</v>
      </c>
    </row>
    <row r="320" s="24" customFormat="1" ht="21" customHeight="1" spans="1:52">
      <c r="A320" s="42"/>
      <c r="B320" s="43"/>
      <c r="C320" s="42"/>
      <c r="D320" s="37" t="s">
        <v>37</v>
      </c>
      <c r="E320" s="38"/>
      <c r="F320" s="38"/>
      <c r="G320" s="38"/>
      <c r="H320" s="38"/>
      <c r="I320" s="38"/>
      <c r="J320" s="39"/>
      <c r="K320" s="39"/>
      <c r="L320" s="38"/>
      <c r="M320" s="38"/>
      <c r="N320" s="38"/>
      <c r="O320" s="38"/>
      <c r="P320" s="38"/>
      <c r="Q320" s="39"/>
      <c r="R320" s="39"/>
      <c r="S320" s="38"/>
      <c r="T320" s="38"/>
      <c r="U320" s="38">
        <v>3</v>
      </c>
      <c r="V320" s="38"/>
      <c r="W320" s="40"/>
      <c r="X320" s="39"/>
      <c r="Y320" s="39"/>
      <c r="Z320" s="38">
        <v>2</v>
      </c>
      <c r="AA320" s="38"/>
      <c r="AB320" s="38">
        <v>1</v>
      </c>
      <c r="AC320" s="38"/>
      <c r="AD320" s="38"/>
      <c r="AE320" s="39"/>
      <c r="AF320" s="39"/>
      <c r="AG320" s="38">
        <v>1</v>
      </c>
      <c r="AH320" s="38"/>
      <c r="AI320" s="37">
        <v>2</v>
      </c>
      <c r="AJ320" s="43"/>
      <c r="AK320" s="43"/>
      <c r="AL320" s="43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</row>
    <row r="321" s="24" customFormat="1" ht="21" customHeight="1" spans="1:52">
      <c r="A321" s="36">
        <v>159</v>
      </c>
      <c r="B321" s="35" t="s">
        <v>32</v>
      </c>
      <c r="C321" s="36" t="s">
        <v>245</v>
      </c>
      <c r="D321" s="37" t="s">
        <v>34</v>
      </c>
      <c r="E321" s="44" t="s">
        <v>35</v>
      </c>
      <c r="F321" s="44" t="s">
        <v>35</v>
      </c>
      <c r="G321" s="44" t="s">
        <v>35</v>
      </c>
      <c r="H321" s="44" t="s">
        <v>35</v>
      </c>
      <c r="I321" s="44" t="s">
        <v>35</v>
      </c>
      <c r="J321" s="39"/>
      <c r="K321" s="39"/>
      <c r="L321" s="44" t="s">
        <v>35</v>
      </c>
      <c r="M321" s="44" t="s">
        <v>35</v>
      </c>
      <c r="N321" s="44" t="s">
        <v>35</v>
      </c>
      <c r="O321" s="44" t="s">
        <v>35</v>
      </c>
      <c r="P321" s="44" t="s">
        <v>35</v>
      </c>
      <c r="Q321" s="39"/>
      <c r="R321" s="39" t="s">
        <v>36</v>
      </c>
      <c r="S321" s="44" t="s">
        <v>35</v>
      </c>
      <c r="T321" s="44" t="s">
        <v>35</v>
      </c>
      <c r="U321" s="44" t="s">
        <v>35</v>
      </c>
      <c r="V321" s="44" t="s">
        <v>35</v>
      </c>
      <c r="W321" s="40"/>
      <c r="X321" s="39"/>
      <c r="Y321" s="39"/>
      <c r="Z321" s="44" t="s">
        <v>35</v>
      </c>
      <c r="AA321" s="44" t="s">
        <v>35</v>
      </c>
      <c r="AB321" s="44" t="s">
        <v>35</v>
      </c>
      <c r="AC321" s="44" t="s">
        <v>35</v>
      </c>
      <c r="AD321" s="44" t="s">
        <v>35</v>
      </c>
      <c r="AE321" s="39"/>
      <c r="AF321" s="39" t="s">
        <v>36</v>
      </c>
      <c r="AG321" s="44" t="s">
        <v>35</v>
      </c>
      <c r="AH321" s="44" t="s">
        <v>35</v>
      </c>
      <c r="AI321" s="37">
        <v>21</v>
      </c>
      <c r="AJ321" s="35">
        <f t="shared" si="311"/>
        <v>45</v>
      </c>
      <c r="AK321" s="35">
        <v>0</v>
      </c>
      <c r="AL321" s="35">
        <f t="shared" ref="AL321:AL325" si="315">E322+F322+G322+H322+I322+L322+M322+N322+O322+P322+S322+T322+U322+V322+Z322+AA322+AB322+AC322+AD322+AG322+AH322</f>
        <v>42</v>
      </c>
      <c r="AM321" s="36">
        <f t="shared" si="312"/>
        <v>34</v>
      </c>
      <c r="AN321" s="36">
        <f t="shared" si="313"/>
        <v>4.5</v>
      </c>
      <c r="AO321" s="36">
        <f t="shared" ref="AO321:AO325" si="316">21*8</f>
        <v>168</v>
      </c>
      <c r="AP321" s="36">
        <f t="shared" si="314"/>
        <v>248.5</v>
      </c>
      <c r="AQ321" s="36">
        <v>0</v>
      </c>
      <c r="AR321" s="36">
        <v>0</v>
      </c>
      <c r="AS321" s="36">
        <v>0</v>
      </c>
      <c r="AT321" s="36">
        <v>0</v>
      </c>
      <c r="AU321" s="36">
        <v>0</v>
      </c>
      <c r="AV321" s="36">
        <v>0</v>
      </c>
      <c r="AW321" s="36">
        <v>0</v>
      </c>
      <c r="AX321" s="36">
        <v>0</v>
      </c>
      <c r="AY321" s="36">
        <v>0</v>
      </c>
      <c r="AZ321" s="36">
        <v>0</v>
      </c>
    </row>
    <row r="322" s="24" customFormat="1" ht="21" customHeight="1" spans="1:52">
      <c r="A322" s="42"/>
      <c r="B322" s="43"/>
      <c r="C322" s="42"/>
      <c r="D322" s="37" t="s">
        <v>37</v>
      </c>
      <c r="E322" s="38">
        <v>2.5</v>
      </c>
      <c r="F322" s="38">
        <v>2.5</v>
      </c>
      <c r="G322" s="38">
        <v>2.5</v>
      </c>
      <c r="H322" s="38"/>
      <c r="I322" s="38">
        <v>2</v>
      </c>
      <c r="J322" s="39">
        <v>9</v>
      </c>
      <c r="K322" s="39">
        <v>8.5</v>
      </c>
      <c r="L322" s="38">
        <v>2.5</v>
      </c>
      <c r="M322" s="38">
        <v>2</v>
      </c>
      <c r="N322" s="38">
        <v>2</v>
      </c>
      <c r="O322" s="38">
        <v>2</v>
      </c>
      <c r="P322" s="38">
        <v>1.5</v>
      </c>
      <c r="Q322" s="39">
        <v>2.5</v>
      </c>
      <c r="R322" s="39"/>
      <c r="S322" s="38">
        <v>2</v>
      </c>
      <c r="T322" s="38">
        <v>2.5</v>
      </c>
      <c r="U322" s="38">
        <v>2.5</v>
      </c>
      <c r="V322" s="44">
        <v>1.5</v>
      </c>
      <c r="W322" s="40">
        <v>4.5</v>
      </c>
      <c r="X322" s="39">
        <v>4.5</v>
      </c>
      <c r="Y322" s="39">
        <v>3.5</v>
      </c>
      <c r="Z322" s="38">
        <v>2</v>
      </c>
      <c r="AA322" s="38">
        <v>2.5</v>
      </c>
      <c r="AB322" s="44">
        <v>1.5</v>
      </c>
      <c r="AC322" s="38">
        <v>2</v>
      </c>
      <c r="AD322" s="38">
        <v>2</v>
      </c>
      <c r="AE322" s="39">
        <v>6</v>
      </c>
      <c r="AF322" s="39"/>
      <c r="AG322" s="38">
        <v>2.5</v>
      </c>
      <c r="AH322" s="44">
        <v>1.5</v>
      </c>
      <c r="AI322" s="37">
        <v>24</v>
      </c>
      <c r="AJ322" s="43"/>
      <c r="AK322" s="43"/>
      <c r="AL322" s="43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</row>
    <row r="323" s="24" customFormat="1" ht="21" customHeight="1" spans="1:52">
      <c r="A323" s="36">
        <v>160</v>
      </c>
      <c r="B323" s="35" t="s">
        <v>32</v>
      </c>
      <c r="C323" s="36" t="s">
        <v>246</v>
      </c>
      <c r="D323" s="37" t="s">
        <v>34</v>
      </c>
      <c r="E323" s="44" t="s">
        <v>39</v>
      </c>
      <c r="F323" s="44" t="s">
        <v>39</v>
      </c>
      <c r="G323" s="44" t="s">
        <v>35</v>
      </c>
      <c r="H323" s="44" t="s">
        <v>35</v>
      </c>
      <c r="I323" s="44" t="s">
        <v>35</v>
      </c>
      <c r="J323" s="39"/>
      <c r="K323" s="39" t="s">
        <v>36</v>
      </c>
      <c r="L323" s="44" t="s">
        <v>35</v>
      </c>
      <c r="M323" s="44" t="s">
        <v>35</v>
      </c>
      <c r="N323" s="44" t="s">
        <v>35</v>
      </c>
      <c r="O323" s="44" t="s">
        <v>35</v>
      </c>
      <c r="P323" s="44" t="s">
        <v>35</v>
      </c>
      <c r="Q323" s="39" t="s">
        <v>36</v>
      </c>
      <c r="R323" s="39"/>
      <c r="S323" s="44" t="s">
        <v>35</v>
      </c>
      <c r="T323" s="44" t="s">
        <v>35</v>
      </c>
      <c r="U323" s="44" t="s">
        <v>35</v>
      </c>
      <c r="V323" s="44" t="s">
        <v>35</v>
      </c>
      <c r="W323" s="40"/>
      <c r="X323" s="39"/>
      <c r="Y323" s="39" t="s">
        <v>36</v>
      </c>
      <c r="Z323" s="44" t="s">
        <v>35</v>
      </c>
      <c r="AA323" s="44" t="s">
        <v>35</v>
      </c>
      <c r="AB323" s="44" t="s">
        <v>35</v>
      </c>
      <c r="AC323" s="44" t="s">
        <v>35</v>
      </c>
      <c r="AD323" s="44" t="s">
        <v>35</v>
      </c>
      <c r="AE323" s="39"/>
      <c r="AF323" s="39" t="s">
        <v>36</v>
      </c>
      <c r="AG323" s="44" t="s">
        <v>35</v>
      </c>
      <c r="AH323" s="44" t="s">
        <v>35</v>
      </c>
      <c r="AI323" s="37">
        <v>19</v>
      </c>
      <c r="AJ323" s="35">
        <f t="shared" ref="AJ323:AJ327" si="317">AI323+AI324</f>
        <v>38</v>
      </c>
      <c r="AK323" s="35">
        <v>2</v>
      </c>
      <c r="AL323" s="35">
        <f t="shared" si="315"/>
        <v>32</v>
      </c>
      <c r="AM323" s="36">
        <f t="shared" ref="AM323:AM327" si="318">J324+K324+Q324+R324+X324+Y324+AE324+AF324</f>
        <v>34</v>
      </c>
      <c r="AN323" s="36">
        <f t="shared" ref="AN323:AN327" si="319">W324</f>
        <v>8</v>
      </c>
      <c r="AO323" s="36">
        <f t="shared" si="316"/>
        <v>168</v>
      </c>
      <c r="AP323" s="36">
        <f t="shared" ref="AP323:AP327" si="320">AL323+AM323+AN323+AO323-AQ323-AS323-AT323-AV323-AW323-AX323-AY323-AZ323-AU323</f>
        <v>242</v>
      </c>
      <c r="AQ323" s="36">
        <v>0</v>
      </c>
      <c r="AR323" s="36">
        <v>0</v>
      </c>
      <c r="AS323" s="36">
        <v>0</v>
      </c>
      <c r="AT323" s="36">
        <v>0</v>
      </c>
      <c r="AU323" s="36">
        <v>0</v>
      </c>
      <c r="AV323" s="36">
        <v>0</v>
      </c>
      <c r="AW323" s="36">
        <v>0</v>
      </c>
      <c r="AX323" s="36">
        <v>0</v>
      </c>
      <c r="AY323" s="36">
        <v>0</v>
      </c>
      <c r="AZ323" s="36">
        <v>0</v>
      </c>
    </row>
    <row r="324" s="24" customFormat="1" ht="21" customHeight="1" spans="1:52">
      <c r="A324" s="42"/>
      <c r="B324" s="43"/>
      <c r="C324" s="42"/>
      <c r="D324" s="37" t="s">
        <v>37</v>
      </c>
      <c r="E324" s="38"/>
      <c r="F324" s="38"/>
      <c r="G324" s="38">
        <v>3</v>
      </c>
      <c r="H324" s="38"/>
      <c r="I324" s="38"/>
      <c r="J324" s="39">
        <v>8</v>
      </c>
      <c r="K324" s="39"/>
      <c r="L324" s="38">
        <v>4</v>
      </c>
      <c r="M324" s="38"/>
      <c r="N324" s="38">
        <v>2</v>
      </c>
      <c r="O324" s="38"/>
      <c r="P324" s="38">
        <v>2</v>
      </c>
      <c r="Q324" s="39"/>
      <c r="R324" s="39">
        <v>8</v>
      </c>
      <c r="S324" s="38"/>
      <c r="T324" s="38">
        <v>3</v>
      </c>
      <c r="U324" s="38">
        <v>3</v>
      </c>
      <c r="V324" s="38"/>
      <c r="W324" s="40">
        <v>8</v>
      </c>
      <c r="X324" s="39">
        <v>8</v>
      </c>
      <c r="Y324" s="39"/>
      <c r="Z324" s="38">
        <v>2</v>
      </c>
      <c r="AA324" s="38">
        <v>2</v>
      </c>
      <c r="AB324" s="38">
        <v>2</v>
      </c>
      <c r="AC324" s="38">
        <v>2</v>
      </c>
      <c r="AD324" s="38">
        <v>2</v>
      </c>
      <c r="AE324" s="39">
        <v>10</v>
      </c>
      <c r="AF324" s="39"/>
      <c r="AG324" s="38">
        <v>2</v>
      </c>
      <c r="AH324" s="38">
        <v>3</v>
      </c>
      <c r="AI324" s="37">
        <v>19</v>
      </c>
      <c r="AJ324" s="43"/>
      <c r="AK324" s="43"/>
      <c r="AL324" s="43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</row>
    <row r="325" s="24" customFormat="1" ht="21" customHeight="1" spans="1:52">
      <c r="A325" s="36">
        <v>161</v>
      </c>
      <c r="B325" s="35" t="s">
        <v>32</v>
      </c>
      <c r="C325" s="36" t="s">
        <v>247</v>
      </c>
      <c r="D325" s="37" t="s">
        <v>34</v>
      </c>
      <c r="E325" s="44" t="s">
        <v>39</v>
      </c>
      <c r="F325" s="44" t="s">
        <v>39</v>
      </c>
      <c r="G325" s="44" t="s">
        <v>39</v>
      </c>
      <c r="H325" s="44" t="s">
        <v>39</v>
      </c>
      <c r="I325" s="44" t="s">
        <v>39</v>
      </c>
      <c r="J325" s="39" t="s">
        <v>39</v>
      </c>
      <c r="K325" s="39" t="s">
        <v>39</v>
      </c>
      <c r="L325" s="38" t="s">
        <v>248</v>
      </c>
      <c r="M325" s="38" t="s">
        <v>248</v>
      </c>
      <c r="N325" s="38" t="s">
        <v>249</v>
      </c>
      <c r="O325" s="38" t="s">
        <v>39</v>
      </c>
      <c r="P325" s="38" t="s">
        <v>39</v>
      </c>
      <c r="Q325" s="39" t="s">
        <v>39</v>
      </c>
      <c r="R325" s="39" t="s">
        <v>39</v>
      </c>
      <c r="S325" s="38" t="s">
        <v>39</v>
      </c>
      <c r="T325" s="38" t="s">
        <v>39</v>
      </c>
      <c r="U325" s="38" t="s">
        <v>39</v>
      </c>
      <c r="V325" s="38" t="s">
        <v>39</v>
      </c>
      <c r="W325" s="40" t="s">
        <v>39</v>
      </c>
      <c r="X325" s="39" t="s">
        <v>39</v>
      </c>
      <c r="Y325" s="39" t="s">
        <v>39</v>
      </c>
      <c r="Z325" s="38" t="s">
        <v>39</v>
      </c>
      <c r="AA325" s="38" t="s">
        <v>39</v>
      </c>
      <c r="AB325" s="38" t="s">
        <v>39</v>
      </c>
      <c r="AC325" s="38" t="s">
        <v>39</v>
      </c>
      <c r="AD325" s="38" t="s">
        <v>39</v>
      </c>
      <c r="AE325" s="39" t="s">
        <v>39</v>
      </c>
      <c r="AF325" s="39" t="s">
        <v>39</v>
      </c>
      <c r="AG325" s="38" t="s">
        <v>39</v>
      </c>
      <c r="AH325" s="38" t="s">
        <v>39</v>
      </c>
      <c r="AI325" s="37">
        <v>0</v>
      </c>
      <c r="AJ325" s="35">
        <f t="shared" si="317"/>
        <v>0</v>
      </c>
      <c r="AK325" s="35">
        <v>30</v>
      </c>
      <c r="AL325" s="35">
        <f t="shared" si="315"/>
        <v>15</v>
      </c>
      <c r="AM325" s="36">
        <f t="shared" si="318"/>
        <v>16</v>
      </c>
      <c r="AN325" s="36">
        <f t="shared" si="319"/>
        <v>10.5</v>
      </c>
      <c r="AO325" s="36">
        <f t="shared" si="316"/>
        <v>168</v>
      </c>
      <c r="AP325" s="36">
        <f t="shared" si="320"/>
        <v>185.5</v>
      </c>
      <c r="AQ325" s="36">
        <v>0</v>
      </c>
      <c r="AR325" s="36">
        <v>0</v>
      </c>
      <c r="AS325" s="36">
        <v>0</v>
      </c>
      <c r="AT325" s="36">
        <v>8</v>
      </c>
      <c r="AU325" s="36">
        <v>0</v>
      </c>
      <c r="AV325" s="36">
        <v>0</v>
      </c>
      <c r="AW325" s="36">
        <v>0</v>
      </c>
      <c r="AX325" s="36">
        <v>16</v>
      </c>
      <c r="AY325" s="36">
        <v>0</v>
      </c>
      <c r="AZ325" s="36">
        <v>0</v>
      </c>
    </row>
    <row r="326" s="24" customFormat="1" ht="21" customHeight="1" spans="1:52">
      <c r="A326" s="42"/>
      <c r="B326" s="43"/>
      <c r="C326" s="42"/>
      <c r="D326" s="37" t="s">
        <v>37</v>
      </c>
      <c r="E326" s="38"/>
      <c r="F326" s="38"/>
      <c r="G326" s="38">
        <v>1</v>
      </c>
      <c r="H326" s="38">
        <v>1.5</v>
      </c>
      <c r="I326" s="38"/>
      <c r="J326" s="39"/>
      <c r="K326" s="39"/>
      <c r="L326" s="38"/>
      <c r="M326" s="38"/>
      <c r="N326" s="38"/>
      <c r="O326" s="38"/>
      <c r="P326" s="38">
        <v>1.5</v>
      </c>
      <c r="Q326" s="39">
        <v>7</v>
      </c>
      <c r="R326" s="39"/>
      <c r="S326" s="38">
        <v>2.5</v>
      </c>
      <c r="T326" s="38"/>
      <c r="U326" s="38"/>
      <c r="V326" s="38"/>
      <c r="W326" s="40">
        <v>10.5</v>
      </c>
      <c r="X326" s="39"/>
      <c r="Y326" s="39"/>
      <c r="Z326" s="38">
        <v>2.5</v>
      </c>
      <c r="AA326" s="38"/>
      <c r="AB326" s="38">
        <v>3</v>
      </c>
      <c r="AC326" s="38">
        <v>1.5</v>
      </c>
      <c r="AD326" s="38"/>
      <c r="AE326" s="39">
        <v>9</v>
      </c>
      <c r="AF326" s="39"/>
      <c r="AG326" s="38">
        <v>1.5</v>
      </c>
      <c r="AH326" s="38"/>
      <c r="AI326" s="37">
        <v>0</v>
      </c>
      <c r="AJ326" s="43"/>
      <c r="AK326" s="43"/>
      <c r="AL326" s="43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</row>
    <row r="327" s="24" customFormat="1" ht="21" customHeight="1" spans="1:52">
      <c r="A327" s="36">
        <v>162</v>
      </c>
      <c r="B327" s="35" t="s">
        <v>32</v>
      </c>
      <c r="C327" s="36" t="s">
        <v>250</v>
      </c>
      <c r="D327" s="37" t="s">
        <v>34</v>
      </c>
      <c r="E327" s="44" t="s">
        <v>35</v>
      </c>
      <c r="F327" s="44" t="s">
        <v>35</v>
      </c>
      <c r="G327" s="44" t="s">
        <v>35</v>
      </c>
      <c r="H327" s="44" t="s">
        <v>35</v>
      </c>
      <c r="I327" s="44" t="s">
        <v>35</v>
      </c>
      <c r="J327" s="39" t="s">
        <v>36</v>
      </c>
      <c r="K327" s="39" t="s">
        <v>36</v>
      </c>
      <c r="L327" s="44" t="s">
        <v>35</v>
      </c>
      <c r="M327" s="44" t="s">
        <v>39</v>
      </c>
      <c r="N327" s="44" t="s">
        <v>39</v>
      </c>
      <c r="O327" s="44" t="s">
        <v>39</v>
      </c>
      <c r="P327" s="44" t="s">
        <v>39</v>
      </c>
      <c r="Q327" s="39" t="s">
        <v>39</v>
      </c>
      <c r="R327" s="39" t="s">
        <v>36</v>
      </c>
      <c r="S327" s="44" t="s">
        <v>35</v>
      </c>
      <c r="T327" s="44" t="s">
        <v>35</v>
      </c>
      <c r="U327" s="44" t="s">
        <v>35</v>
      </c>
      <c r="V327" s="44" t="s">
        <v>35</v>
      </c>
      <c r="W327" s="40" t="s">
        <v>36</v>
      </c>
      <c r="X327" s="39" t="s">
        <v>36</v>
      </c>
      <c r="Y327" s="39" t="s">
        <v>36</v>
      </c>
      <c r="Z327" s="44" t="s">
        <v>35</v>
      </c>
      <c r="AA327" s="44" t="s">
        <v>35</v>
      </c>
      <c r="AB327" s="44" t="s">
        <v>35</v>
      </c>
      <c r="AC327" s="44" t="s">
        <v>35</v>
      </c>
      <c r="AD327" s="44" t="s">
        <v>35</v>
      </c>
      <c r="AE327" s="39" t="s">
        <v>36</v>
      </c>
      <c r="AF327" s="39" t="s">
        <v>36</v>
      </c>
      <c r="AG327" s="44" t="s">
        <v>35</v>
      </c>
      <c r="AH327" s="44" t="s">
        <v>39</v>
      </c>
      <c r="AI327" s="37">
        <v>16</v>
      </c>
      <c r="AJ327" s="35">
        <f t="shared" si="317"/>
        <v>16</v>
      </c>
      <c r="AK327" s="35">
        <v>6</v>
      </c>
      <c r="AL327" s="35">
        <f t="shared" ref="AL327:AL331" si="321">E328+F328+G328+H328+I328+L328+M328+N328+O328+P328+S328+T328+U328+V328+Z328+AA328+AB328+AC328+AD328+AG328+AH328</f>
        <v>0</v>
      </c>
      <c r="AM327" s="36">
        <f t="shared" si="318"/>
        <v>0</v>
      </c>
      <c r="AN327" s="36">
        <f t="shared" si="319"/>
        <v>0</v>
      </c>
      <c r="AO327" s="36">
        <f t="shared" ref="AO327:AO331" si="322">21*8</f>
        <v>168</v>
      </c>
      <c r="AP327" s="36">
        <f t="shared" si="320"/>
        <v>168</v>
      </c>
      <c r="AQ327" s="36">
        <v>0</v>
      </c>
      <c r="AR327" s="36">
        <v>0</v>
      </c>
      <c r="AS327" s="36">
        <v>0</v>
      </c>
      <c r="AT327" s="36">
        <v>0</v>
      </c>
      <c r="AU327" s="36">
        <v>0</v>
      </c>
      <c r="AV327" s="36">
        <v>0</v>
      </c>
      <c r="AW327" s="36">
        <v>0</v>
      </c>
      <c r="AX327" s="36">
        <v>0</v>
      </c>
      <c r="AY327" s="36">
        <v>0</v>
      </c>
      <c r="AZ327" s="36">
        <v>0</v>
      </c>
    </row>
    <row r="328" s="24" customFormat="1" ht="21" customHeight="1" spans="1:52">
      <c r="A328" s="42"/>
      <c r="B328" s="43"/>
      <c r="C328" s="42"/>
      <c r="D328" s="37" t="s">
        <v>37</v>
      </c>
      <c r="E328" s="38"/>
      <c r="F328" s="38"/>
      <c r="G328" s="38"/>
      <c r="H328" s="38"/>
      <c r="I328" s="38"/>
      <c r="J328" s="39"/>
      <c r="K328" s="39"/>
      <c r="L328" s="38"/>
      <c r="M328" s="38"/>
      <c r="N328" s="38"/>
      <c r="O328" s="38"/>
      <c r="P328" s="38"/>
      <c r="Q328" s="39"/>
      <c r="R328" s="39"/>
      <c r="S328" s="38"/>
      <c r="T328" s="38"/>
      <c r="U328" s="38"/>
      <c r="V328" s="38"/>
      <c r="W328" s="40"/>
      <c r="X328" s="39"/>
      <c r="Y328" s="39"/>
      <c r="Z328" s="38"/>
      <c r="AA328" s="38"/>
      <c r="AB328" s="38"/>
      <c r="AC328" s="38"/>
      <c r="AD328" s="38"/>
      <c r="AE328" s="39"/>
      <c r="AF328" s="39"/>
      <c r="AG328" s="38"/>
      <c r="AH328" s="38"/>
      <c r="AI328" s="37">
        <v>0</v>
      </c>
      <c r="AJ328" s="43"/>
      <c r="AK328" s="43"/>
      <c r="AL328" s="43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</row>
    <row r="329" s="24" customFormat="1" ht="21" customHeight="1" spans="1:52">
      <c r="A329" s="36">
        <v>163</v>
      </c>
      <c r="B329" s="35" t="s">
        <v>32</v>
      </c>
      <c r="C329" s="36" t="s">
        <v>251</v>
      </c>
      <c r="D329" s="37" t="s">
        <v>34</v>
      </c>
      <c r="E329" s="44" t="s">
        <v>35</v>
      </c>
      <c r="F329" s="44" t="s">
        <v>35</v>
      </c>
      <c r="G329" s="44" t="s">
        <v>35</v>
      </c>
      <c r="H329" s="44" t="s">
        <v>35</v>
      </c>
      <c r="I329" s="44" t="s">
        <v>35</v>
      </c>
      <c r="J329" s="39" t="s">
        <v>36</v>
      </c>
      <c r="K329" s="39" t="s">
        <v>36</v>
      </c>
      <c r="L329" s="44" t="s">
        <v>35</v>
      </c>
      <c r="M329" s="44" t="s">
        <v>35</v>
      </c>
      <c r="N329" s="44" t="s">
        <v>35</v>
      </c>
      <c r="O329" s="44" t="s">
        <v>35</v>
      </c>
      <c r="P329" s="44" t="s">
        <v>35</v>
      </c>
      <c r="Q329" s="39"/>
      <c r="R329" s="39" t="s">
        <v>36</v>
      </c>
      <c r="S329" s="44" t="s">
        <v>35</v>
      </c>
      <c r="T329" s="44" t="s">
        <v>35</v>
      </c>
      <c r="U329" s="44" t="s">
        <v>35</v>
      </c>
      <c r="V329" s="44" t="s">
        <v>35</v>
      </c>
      <c r="W329" s="40" t="s">
        <v>36</v>
      </c>
      <c r="X329" s="39" t="s">
        <v>36</v>
      </c>
      <c r="Y329" s="39" t="s">
        <v>36</v>
      </c>
      <c r="Z329" s="44" t="s">
        <v>35</v>
      </c>
      <c r="AA329" s="44" t="s">
        <v>35</v>
      </c>
      <c r="AB329" s="44" t="s">
        <v>35</v>
      </c>
      <c r="AC329" s="44" t="s">
        <v>35</v>
      </c>
      <c r="AD329" s="44" t="s">
        <v>35</v>
      </c>
      <c r="AE329" s="39"/>
      <c r="AF329" s="39" t="s">
        <v>36</v>
      </c>
      <c r="AG329" s="44" t="s">
        <v>35</v>
      </c>
      <c r="AH329" s="44" t="s">
        <v>35</v>
      </c>
      <c r="AI329" s="37">
        <v>21</v>
      </c>
      <c r="AJ329" s="35">
        <f t="shared" ref="AJ329:AJ333" si="323">AI329+AI330</f>
        <v>29</v>
      </c>
      <c r="AK329" s="35">
        <v>0</v>
      </c>
      <c r="AL329" s="35">
        <f t="shared" si="321"/>
        <v>10.5</v>
      </c>
      <c r="AM329" s="36">
        <f t="shared" ref="AM329:AM333" si="324">J330+K330+Q330+R330+X330+Y330+AE330+AF330</f>
        <v>16</v>
      </c>
      <c r="AN329" s="36">
        <f t="shared" ref="AN329:AN333" si="325">W330</f>
        <v>0</v>
      </c>
      <c r="AO329" s="36">
        <f t="shared" si="322"/>
        <v>168</v>
      </c>
      <c r="AP329" s="36">
        <f t="shared" ref="AP329:AP333" si="326">AL329+AM329+AN329+AO329-AQ329-AS329-AT329-AV329-AW329-AX329-AY329-AZ329-AU329</f>
        <v>194.5</v>
      </c>
      <c r="AQ329" s="36">
        <v>0</v>
      </c>
      <c r="AR329" s="36">
        <v>0</v>
      </c>
      <c r="AS329" s="36">
        <v>0</v>
      </c>
      <c r="AT329" s="36">
        <v>0</v>
      </c>
      <c r="AU329" s="36">
        <v>0</v>
      </c>
      <c r="AV329" s="36">
        <v>0</v>
      </c>
      <c r="AW329" s="36">
        <v>0</v>
      </c>
      <c r="AX329" s="36">
        <v>0</v>
      </c>
      <c r="AY329" s="36">
        <v>0</v>
      </c>
      <c r="AZ329" s="36">
        <v>0</v>
      </c>
    </row>
    <row r="330" s="24" customFormat="1" ht="21" customHeight="1" spans="1:52">
      <c r="A330" s="42"/>
      <c r="B330" s="43"/>
      <c r="C330" s="42"/>
      <c r="D330" s="37" t="s">
        <v>37</v>
      </c>
      <c r="E330" s="38"/>
      <c r="F330" s="38"/>
      <c r="G330" s="38"/>
      <c r="H330" s="38"/>
      <c r="I330" s="38"/>
      <c r="J330" s="39"/>
      <c r="K330" s="39"/>
      <c r="L330" s="38"/>
      <c r="M330" s="38"/>
      <c r="N330" s="38"/>
      <c r="O330" s="38"/>
      <c r="P330" s="44">
        <v>1.5</v>
      </c>
      <c r="Q330" s="39">
        <v>8</v>
      </c>
      <c r="R330" s="39"/>
      <c r="S330" s="44">
        <v>1.5</v>
      </c>
      <c r="T330" s="38"/>
      <c r="U330" s="38">
        <v>1.5</v>
      </c>
      <c r="V330" s="38"/>
      <c r="W330" s="40"/>
      <c r="X330" s="39"/>
      <c r="Y330" s="39"/>
      <c r="Z330" s="38"/>
      <c r="AA330" s="44">
        <v>1.5</v>
      </c>
      <c r="AB330" s="38"/>
      <c r="AC330" s="44">
        <v>1.5</v>
      </c>
      <c r="AD330" s="38"/>
      <c r="AE330" s="39">
        <v>8</v>
      </c>
      <c r="AF330" s="39"/>
      <c r="AG330" s="44">
        <v>1.5</v>
      </c>
      <c r="AH330" s="44">
        <v>1.5</v>
      </c>
      <c r="AI330" s="37">
        <v>8</v>
      </c>
      <c r="AJ330" s="43"/>
      <c r="AK330" s="43"/>
      <c r="AL330" s="43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</row>
    <row r="331" s="24" customFormat="1" ht="21" customHeight="1" spans="1:52">
      <c r="A331" s="36">
        <v>164</v>
      </c>
      <c r="B331" s="35" t="s">
        <v>32</v>
      </c>
      <c r="C331" s="36" t="s">
        <v>252</v>
      </c>
      <c r="D331" s="37" t="s">
        <v>34</v>
      </c>
      <c r="E331" s="44" t="s">
        <v>35</v>
      </c>
      <c r="F331" s="44" t="s">
        <v>35</v>
      </c>
      <c r="G331" s="44" t="s">
        <v>35</v>
      </c>
      <c r="H331" s="44" t="s">
        <v>35</v>
      </c>
      <c r="I331" s="44" t="s">
        <v>35</v>
      </c>
      <c r="J331" s="39"/>
      <c r="K331" s="39" t="s">
        <v>36</v>
      </c>
      <c r="L331" s="44" t="s">
        <v>35</v>
      </c>
      <c r="M331" s="44" t="s">
        <v>35</v>
      </c>
      <c r="N331" s="44" t="s">
        <v>35</v>
      </c>
      <c r="O331" s="44" t="s">
        <v>35</v>
      </c>
      <c r="P331" s="44" t="s">
        <v>35</v>
      </c>
      <c r="Q331" s="39"/>
      <c r="R331" s="39" t="s">
        <v>36</v>
      </c>
      <c r="S331" s="44" t="s">
        <v>35</v>
      </c>
      <c r="T331" s="44" t="s">
        <v>35</v>
      </c>
      <c r="U331" s="44" t="s">
        <v>35</v>
      </c>
      <c r="V331" s="44" t="s">
        <v>35</v>
      </c>
      <c r="W331" s="40" t="s">
        <v>36</v>
      </c>
      <c r="X331" s="39"/>
      <c r="Y331" s="39" t="s">
        <v>36</v>
      </c>
      <c r="Z331" s="44" t="s">
        <v>35</v>
      </c>
      <c r="AA331" s="44" t="s">
        <v>35</v>
      </c>
      <c r="AB331" s="44" t="s">
        <v>35</v>
      </c>
      <c r="AC331" s="44" t="s">
        <v>35</v>
      </c>
      <c r="AD331" s="44" t="s">
        <v>35</v>
      </c>
      <c r="AE331" s="39"/>
      <c r="AF331" s="39" t="s">
        <v>36</v>
      </c>
      <c r="AG331" s="44" t="s">
        <v>35</v>
      </c>
      <c r="AH331" s="44" t="s">
        <v>35</v>
      </c>
      <c r="AI331" s="37">
        <v>21</v>
      </c>
      <c r="AJ331" s="35">
        <f t="shared" si="323"/>
        <v>39</v>
      </c>
      <c r="AK331" s="35">
        <v>0</v>
      </c>
      <c r="AL331" s="35">
        <f t="shared" si="321"/>
        <v>61.5</v>
      </c>
      <c r="AM331" s="36">
        <f t="shared" si="324"/>
        <v>27</v>
      </c>
      <c r="AN331" s="36">
        <f t="shared" si="325"/>
        <v>0</v>
      </c>
      <c r="AO331" s="36">
        <f t="shared" si="322"/>
        <v>168</v>
      </c>
      <c r="AP331" s="36">
        <f t="shared" si="326"/>
        <v>256.5</v>
      </c>
      <c r="AQ331" s="36">
        <v>0</v>
      </c>
      <c r="AR331" s="36">
        <v>0</v>
      </c>
      <c r="AS331" s="36">
        <v>0</v>
      </c>
      <c r="AT331" s="36">
        <v>0</v>
      </c>
      <c r="AU331" s="36">
        <v>0</v>
      </c>
      <c r="AV331" s="36">
        <v>0</v>
      </c>
      <c r="AW331" s="36">
        <v>0</v>
      </c>
      <c r="AX331" s="36">
        <v>0</v>
      </c>
      <c r="AY331" s="36">
        <v>0</v>
      </c>
      <c r="AZ331" s="36">
        <v>0</v>
      </c>
    </row>
    <row r="332" s="24" customFormat="1" ht="21" customHeight="1" spans="1:52">
      <c r="A332" s="42"/>
      <c r="B332" s="43"/>
      <c r="C332" s="42"/>
      <c r="D332" s="37" t="s">
        <v>37</v>
      </c>
      <c r="E332" s="38">
        <v>3.5</v>
      </c>
      <c r="F332" s="38">
        <v>4</v>
      </c>
      <c r="G332" s="38">
        <v>3</v>
      </c>
      <c r="H332" s="38">
        <v>3</v>
      </c>
      <c r="I332" s="38"/>
      <c r="J332" s="39">
        <v>7</v>
      </c>
      <c r="K332" s="39"/>
      <c r="L332" s="38">
        <v>3.5</v>
      </c>
      <c r="M332" s="38">
        <v>4</v>
      </c>
      <c r="N332" s="38">
        <v>3.5</v>
      </c>
      <c r="O332" s="38">
        <v>2.5</v>
      </c>
      <c r="P332" s="38"/>
      <c r="Q332" s="39">
        <v>5.5</v>
      </c>
      <c r="R332" s="39"/>
      <c r="S332" s="38">
        <v>3.5</v>
      </c>
      <c r="T332" s="38">
        <v>3.5</v>
      </c>
      <c r="U332" s="38">
        <v>4</v>
      </c>
      <c r="V332" s="38">
        <v>1</v>
      </c>
      <c r="W332" s="40"/>
      <c r="X332" s="39">
        <v>5.5</v>
      </c>
      <c r="Y332" s="39"/>
      <c r="Z332" s="38">
        <v>3</v>
      </c>
      <c r="AA332" s="38">
        <v>3.5</v>
      </c>
      <c r="AB332" s="38">
        <v>4</v>
      </c>
      <c r="AC332" s="38">
        <v>3</v>
      </c>
      <c r="AD332" s="38">
        <v>1</v>
      </c>
      <c r="AE332" s="39">
        <v>9</v>
      </c>
      <c r="AF332" s="39"/>
      <c r="AG332" s="38">
        <v>4</v>
      </c>
      <c r="AH332" s="38">
        <v>4</v>
      </c>
      <c r="AI332" s="37">
        <v>18</v>
      </c>
      <c r="AJ332" s="43"/>
      <c r="AK332" s="43"/>
      <c r="AL332" s="43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</row>
    <row r="333" s="24" customFormat="1" ht="21" customHeight="1" spans="1:52">
      <c r="A333" s="36">
        <v>165</v>
      </c>
      <c r="B333" s="35" t="s">
        <v>32</v>
      </c>
      <c r="C333" s="36" t="s">
        <v>253</v>
      </c>
      <c r="D333" s="37" t="s">
        <v>34</v>
      </c>
      <c r="E333" s="38" t="s">
        <v>35</v>
      </c>
      <c r="F333" s="38" t="s">
        <v>35</v>
      </c>
      <c r="G333" s="38" t="s">
        <v>35</v>
      </c>
      <c r="H333" s="38" t="s">
        <v>35</v>
      </c>
      <c r="I333" s="38" t="s">
        <v>35</v>
      </c>
      <c r="J333" s="39" t="s">
        <v>36</v>
      </c>
      <c r="K333" s="39" t="s">
        <v>36</v>
      </c>
      <c r="L333" s="38" t="s">
        <v>35</v>
      </c>
      <c r="M333" s="38" t="s">
        <v>35</v>
      </c>
      <c r="N333" s="38" t="s">
        <v>35</v>
      </c>
      <c r="O333" s="38" t="s">
        <v>117</v>
      </c>
      <c r="P333" s="38"/>
      <c r="Q333" s="39"/>
      <c r="R333" s="39"/>
      <c r="S333" s="38"/>
      <c r="T333" s="38"/>
      <c r="U333" s="38"/>
      <c r="V333" s="38"/>
      <c r="W333" s="40"/>
      <c r="X333" s="39"/>
      <c r="Y333" s="39"/>
      <c r="Z333" s="38"/>
      <c r="AA333" s="38"/>
      <c r="AB333" s="38"/>
      <c r="AC333" s="38"/>
      <c r="AD333" s="38"/>
      <c r="AE333" s="39"/>
      <c r="AF333" s="39"/>
      <c r="AG333" s="38"/>
      <c r="AH333" s="38"/>
      <c r="AI333" s="61">
        <v>8</v>
      </c>
      <c r="AJ333" s="62">
        <f t="shared" si="323"/>
        <v>11</v>
      </c>
      <c r="AK333" s="62">
        <v>0</v>
      </c>
      <c r="AL333" s="35">
        <f t="shared" ref="AL333:AL337" si="327">E334+F334+G334+H334+I334+L334+M334+N334+O334+P334+S334+T334+U334+V334+Z334+AA334+AB334+AC334+AD334+AG334+AH334</f>
        <v>7.5</v>
      </c>
      <c r="AM333" s="36">
        <f t="shared" si="324"/>
        <v>0</v>
      </c>
      <c r="AN333" s="36">
        <f t="shared" si="325"/>
        <v>0</v>
      </c>
      <c r="AO333" s="36">
        <f>8*8</f>
        <v>64</v>
      </c>
      <c r="AP333" s="63">
        <f t="shared" si="326"/>
        <v>71.5</v>
      </c>
      <c r="AQ333" s="63">
        <v>0</v>
      </c>
      <c r="AR333" s="36">
        <v>0</v>
      </c>
      <c r="AS333" s="36">
        <v>0</v>
      </c>
      <c r="AT333" s="36">
        <v>0</v>
      </c>
      <c r="AU333" s="36">
        <v>0</v>
      </c>
      <c r="AV333" s="36">
        <v>0</v>
      </c>
      <c r="AW333" s="36">
        <v>0</v>
      </c>
      <c r="AX333" s="36">
        <v>0</v>
      </c>
      <c r="AY333" s="36">
        <v>0</v>
      </c>
      <c r="AZ333" s="36">
        <v>0</v>
      </c>
    </row>
    <row r="334" s="24" customFormat="1" ht="21" customHeight="1" spans="1:52">
      <c r="A334" s="42"/>
      <c r="B334" s="43"/>
      <c r="C334" s="42"/>
      <c r="D334" s="37" t="s">
        <v>37</v>
      </c>
      <c r="E334" s="38">
        <v>2</v>
      </c>
      <c r="F334" s="38">
        <v>1.5</v>
      </c>
      <c r="G334" s="38">
        <v>2</v>
      </c>
      <c r="H334" s="38">
        <v>1</v>
      </c>
      <c r="I334" s="38">
        <v>1</v>
      </c>
      <c r="J334" s="39"/>
      <c r="K334" s="39"/>
      <c r="L334" s="38"/>
      <c r="M334" s="38"/>
      <c r="N334" s="38"/>
      <c r="O334" s="38"/>
      <c r="P334" s="38"/>
      <c r="Q334" s="39"/>
      <c r="R334" s="39"/>
      <c r="S334" s="38"/>
      <c r="T334" s="38"/>
      <c r="U334" s="38"/>
      <c r="V334" s="38"/>
      <c r="W334" s="40"/>
      <c r="X334" s="39"/>
      <c r="Y334" s="39"/>
      <c r="Z334" s="38"/>
      <c r="AA334" s="38"/>
      <c r="AB334" s="38"/>
      <c r="AC334" s="38"/>
      <c r="AD334" s="38"/>
      <c r="AE334" s="39"/>
      <c r="AF334" s="39"/>
      <c r="AG334" s="38"/>
      <c r="AH334" s="38"/>
      <c r="AI334" s="61">
        <v>3</v>
      </c>
      <c r="AJ334" s="64"/>
      <c r="AK334" s="64"/>
      <c r="AL334" s="43"/>
      <c r="AM334" s="42"/>
      <c r="AN334" s="42"/>
      <c r="AO334" s="42"/>
      <c r="AP334" s="65"/>
      <c r="AQ334" s="65"/>
      <c r="AR334" s="42"/>
      <c r="AS334" s="42"/>
      <c r="AT334" s="42"/>
      <c r="AU334" s="42"/>
      <c r="AV334" s="42"/>
      <c r="AW334" s="42"/>
      <c r="AX334" s="42"/>
      <c r="AY334" s="42"/>
      <c r="AZ334" s="42"/>
    </row>
    <row r="335" s="24" customFormat="1" ht="21" customHeight="1" spans="1:52">
      <c r="A335" s="36">
        <v>166</v>
      </c>
      <c r="B335" s="35" t="s">
        <v>32</v>
      </c>
      <c r="C335" s="36" t="s">
        <v>254</v>
      </c>
      <c r="D335" s="37" t="s">
        <v>34</v>
      </c>
      <c r="E335" s="44" t="s">
        <v>35</v>
      </c>
      <c r="F335" s="44" t="s">
        <v>35</v>
      </c>
      <c r="G335" s="44" t="s">
        <v>35</v>
      </c>
      <c r="H335" s="44" t="s">
        <v>35</v>
      </c>
      <c r="I335" s="44" t="s">
        <v>35</v>
      </c>
      <c r="J335" s="39"/>
      <c r="K335" s="39"/>
      <c r="L335" s="44" t="s">
        <v>35</v>
      </c>
      <c r="M335" s="44" t="s">
        <v>35</v>
      </c>
      <c r="N335" s="44" t="s">
        <v>35</v>
      </c>
      <c r="O335" s="44" t="s">
        <v>35</v>
      </c>
      <c r="P335" s="44" t="s">
        <v>35</v>
      </c>
      <c r="Q335" s="39" t="s">
        <v>36</v>
      </c>
      <c r="R335" s="39"/>
      <c r="S335" s="44" t="s">
        <v>35</v>
      </c>
      <c r="T335" s="44" t="s">
        <v>35</v>
      </c>
      <c r="U335" s="44" t="s">
        <v>35</v>
      </c>
      <c r="V335" s="44" t="s">
        <v>35</v>
      </c>
      <c r="W335" s="40"/>
      <c r="X335" s="39" t="s">
        <v>36</v>
      </c>
      <c r="Y335" s="39"/>
      <c r="Z335" s="44" t="s">
        <v>35</v>
      </c>
      <c r="AA335" s="44" t="s">
        <v>35</v>
      </c>
      <c r="AB335" s="44" t="s">
        <v>35</v>
      </c>
      <c r="AC335" s="44" t="s">
        <v>35</v>
      </c>
      <c r="AD335" s="44" t="s">
        <v>35</v>
      </c>
      <c r="AE335" s="39"/>
      <c r="AF335" s="39"/>
      <c r="AG335" s="44" t="s">
        <v>35</v>
      </c>
      <c r="AH335" s="44" t="s">
        <v>35</v>
      </c>
      <c r="AI335" s="37">
        <v>21</v>
      </c>
      <c r="AJ335" s="35">
        <f t="shared" ref="AJ335:AJ339" si="328">AI335+AI336</f>
        <v>51</v>
      </c>
      <c r="AK335" s="35">
        <v>0</v>
      </c>
      <c r="AL335" s="35">
        <f t="shared" si="327"/>
        <v>62.5</v>
      </c>
      <c r="AM335" s="36">
        <f t="shared" ref="AM335:AM339" si="329">J336+K336+Q336+R336+X336+Y336+AE336+AF336</f>
        <v>56</v>
      </c>
      <c r="AN335" s="36">
        <f t="shared" ref="AN335:AN339" si="330">W336</f>
        <v>8</v>
      </c>
      <c r="AO335" s="36">
        <f t="shared" ref="AO335:AO339" si="331">21*8</f>
        <v>168</v>
      </c>
      <c r="AP335" s="36">
        <f t="shared" ref="AP335:AP339" si="332">AL335+AM335+AN335+AO335-AQ335-AS335-AT335-AV335-AW335-AX335-AY335-AZ335-AU335</f>
        <v>294.5</v>
      </c>
      <c r="AQ335" s="36">
        <v>0</v>
      </c>
      <c r="AR335" s="36">
        <v>0</v>
      </c>
      <c r="AS335" s="36">
        <v>0</v>
      </c>
      <c r="AT335" s="36">
        <v>0</v>
      </c>
      <c r="AU335" s="36">
        <v>0</v>
      </c>
      <c r="AV335" s="36">
        <v>0</v>
      </c>
      <c r="AW335" s="36">
        <v>0</v>
      </c>
      <c r="AX335" s="36">
        <v>0</v>
      </c>
      <c r="AY335" s="36">
        <v>0</v>
      </c>
      <c r="AZ335" s="36">
        <v>0</v>
      </c>
    </row>
    <row r="336" s="24" customFormat="1" ht="21" customHeight="1" spans="1:52">
      <c r="A336" s="42"/>
      <c r="B336" s="43"/>
      <c r="C336" s="42"/>
      <c r="D336" s="37" t="s">
        <v>37</v>
      </c>
      <c r="E336" s="38">
        <v>3</v>
      </c>
      <c r="F336" s="38"/>
      <c r="G336" s="38">
        <v>3</v>
      </c>
      <c r="H336" s="38">
        <v>4</v>
      </c>
      <c r="I336" s="38">
        <v>4</v>
      </c>
      <c r="J336" s="39">
        <v>12</v>
      </c>
      <c r="K336" s="39">
        <v>8</v>
      </c>
      <c r="L336" s="38">
        <v>2.5</v>
      </c>
      <c r="M336" s="38">
        <v>2.5</v>
      </c>
      <c r="N336" s="38">
        <v>2.5</v>
      </c>
      <c r="O336" s="38">
        <v>2.5</v>
      </c>
      <c r="P336" s="38">
        <v>2.5</v>
      </c>
      <c r="Q336" s="39"/>
      <c r="R336" s="39">
        <v>10</v>
      </c>
      <c r="S336" s="38">
        <v>2.5</v>
      </c>
      <c r="T336" s="38">
        <v>4</v>
      </c>
      <c r="U336" s="38">
        <v>3</v>
      </c>
      <c r="V336" s="38">
        <v>3.5</v>
      </c>
      <c r="W336" s="40">
        <v>8</v>
      </c>
      <c r="X336" s="39"/>
      <c r="Y336" s="39">
        <v>10</v>
      </c>
      <c r="Z336" s="38">
        <v>3.5</v>
      </c>
      <c r="AA336" s="38">
        <v>3</v>
      </c>
      <c r="AB336" s="38">
        <v>3</v>
      </c>
      <c r="AC336" s="38">
        <v>4.5</v>
      </c>
      <c r="AD336" s="38">
        <v>3</v>
      </c>
      <c r="AE336" s="39">
        <v>8</v>
      </c>
      <c r="AF336" s="39">
        <v>8</v>
      </c>
      <c r="AG336" s="38">
        <v>3</v>
      </c>
      <c r="AH336" s="38">
        <v>3</v>
      </c>
      <c r="AI336" s="37">
        <v>30</v>
      </c>
      <c r="AJ336" s="43"/>
      <c r="AK336" s="43"/>
      <c r="AL336" s="43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</row>
    <row r="337" s="24" customFormat="1" ht="21" customHeight="1" spans="1:52">
      <c r="A337" s="36">
        <v>167</v>
      </c>
      <c r="B337" s="35" t="s">
        <v>32</v>
      </c>
      <c r="C337" s="36" t="s">
        <v>255</v>
      </c>
      <c r="D337" s="37" t="s">
        <v>34</v>
      </c>
      <c r="E337" s="44" t="s">
        <v>35</v>
      </c>
      <c r="F337" s="44" t="s">
        <v>35</v>
      </c>
      <c r="G337" s="44" t="s">
        <v>35</v>
      </c>
      <c r="H337" s="44" t="s">
        <v>35</v>
      </c>
      <c r="I337" s="44" t="s">
        <v>35</v>
      </c>
      <c r="J337" s="39" t="s">
        <v>36</v>
      </c>
      <c r="K337" s="39" t="s">
        <v>36</v>
      </c>
      <c r="L337" s="44" t="s">
        <v>35</v>
      </c>
      <c r="M337" s="44" t="s">
        <v>35</v>
      </c>
      <c r="N337" s="44" t="s">
        <v>35</v>
      </c>
      <c r="O337" s="44" t="s">
        <v>35</v>
      </c>
      <c r="P337" s="44" t="s">
        <v>35</v>
      </c>
      <c r="Q337" s="39" t="s">
        <v>36</v>
      </c>
      <c r="R337" s="39" t="s">
        <v>36</v>
      </c>
      <c r="S337" s="44" t="s">
        <v>35</v>
      </c>
      <c r="T337" s="44" t="s">
        <v>35</v>
      </c>
      <c r="U337" s="44" t="s">
        <v>35</v>
      </c>
      <c r="V337" s="44" t="s">
        <v>35</v>
      </c>
      <c r="W337" s="40" t="s">
        <v>36</v>
      </c>
      <c r="X337" s="39" t="s">
        <v>36</v>
      </c>
      <c r="Y337" s="39" t="s">
        <v>36</v>
      </c>
      <c r="Z337" s="44" t="s">
        <v>35</v>
      </c>
      <c r="AA337" s="44" t="s">
        <v>35</v>
      </c>
      <c r="AB337" s="44" t="s">
        <v>35</v>
      </c>
      <c r="AC337" s="44" t="s">
        <v>35</v>
      </c>
      <c r="AD337" s="44" t="s">
        <v>35</v>
      </c>
      <c r="AE337" s="39" t="s">
        <v>36</v>
      </c>
      <c r="AF337" s="39" t="s">
        <v>36</v>
      </c>
      <c r="AG337" s="44" t="s">
        <v>35</v>
      </c>
      <c r="AH337" s="44" t="s">
        <v>35</v>
      </c>
      <c r="AI337" s="37">
        <v>21</v>
      </c>
      <c r="AJ337" s="35">
        <f t="shared" si="328"/>
        <v>35</v>
      </c>
      <c r="AK337" s="35">
        <v>0</v>
      </c>
      <c r="AL337" s="35">
        <f t="shared" si="327"/>
        <v>0</v>
      </c>
      <c r="AM337" s="36">
        <f t="shared" si="329"/>
        <v>0</v>
      </c>
      <c r="AN337" s="36">
        <f t="shared" si="330"/>
        <v>0</v>
      </c>
      <c r="AO337" s="36">
        <f t="shared" si="331"/>
        <v>168</v>
      </c>
      <c r="AP337" s="36">
        <f t="shared" si="332"/>
        <v>168</v>
      </c>
      <c r="AQ337" s="36">
        <v>0</v>
      </c>
      <c r="AR337" s="36">
        <v>0</v>
      </c>
      <c r="AS337" s="36">
        <v>0</v>
      </c>
      <c r="AT337" s="36">
        <v>0</v>
      </c>
      <c r="AU337" s="36">
        <v>0</v>
      </c>
      <c r="AV337" s="36">
        <v>0</v>
      </c>
      <c r="AW337" s="36">
        <v>0</v>
      </c>
      <c r="AX337" s="36">
        <v>0</v>
      </c>
      <c r="AY337" s="36">
        <v>0</v>
      </c>
      <c r="AZ337" s="36">
        <v>0</v>
      </c>
    </row>
    <row r="338" s="24" customFormat="1" ht="21" customHeight="1" spans="1:52">
      <c r="A338" s="42"/>
      <c r="B338" s="43"/>
      <c r="C338" s="42"/>
      <c r="D338" s="37" t="s">
        <v>37</v>
      </c>
      <c r="E338" s="38"/>
      <c r="F338" s="38"/>
      <c r="G338" s="38"/>
      <c r="H338" s="38"/>
      <c r="I338" s="38"/>
      <c r="J338" s="39"/>
      <c r="K338" s="39"/>
      <c r="L338" s="38"/>
      <c r="M338" s="38"/>
      <c r="N338" s="38"/>
      <c r="O338" s="38"/>
      <c r="P338" s="38"/>
      <c r="Q338" s="39"/>
      <c r="R338" s="39"/>
      <c r="S338" s="38"/>
      <c r="T338" s="38"/>
      <c r="U338" s="38"/>
      <c r="V338" s="38"/>
      <c r="W338" s="40"/>
      <c r="X338" s="39"/>
      <c r="Y338" s="39"/>
      <c r="Z338" s="38"/>
      <c r="AA338" s="38"/>
      <c r="AB338" s="38"/>
      <c r="AC338" s="38"/>
      <c r="AD338" s="38"/>
      <c r="AE338" s="39"/>
      <c r="AF338" s="39"/>
      <c r="AG338" s="38"/>
      <c r="AH338" s="38"/>
      <c r="AI338" s="37">
        <v>14</v>
      </c>
      <c r="AJ338" s="43"/>
      <c r="AK338" s="43"/>
      <c r="AL338" s="43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</row>
    <row r="339" s="24" customFormat="1" ht="21" customHeight="1" spans="1:52">
      <c r="A339" s="36">
        <v>168</v>
      </c>
      <c r="B339" s="35" t="s">
        <v>32</v>
      </c>
      <c r="C339" s="36" t="s">
        <v>256</v>
      </c>
      <c r="D339" s="37" t="s">
        <v>34</v>
      </c>
      <c r="E339" s="44" t="s">
        <v>35</v>
      </c>
      <c r="F339" s="44" t="s">
        <v>35</v>
      </c>
      <c r="G339" s="44" t="s">
        <v>35</v>
      </c>
      <c r="H339" s="44" t="s">
        <v>35</v>
      </c>
      <c r="I339" s="44" t="s">
        <v>35</v>
      </c>
      <c r="J339" s="39" t="s">
        <v>36</v>
      </c>
      <c r="K339" s="39" t="s">
        <v>36</v>
      </c>
      <c r="L339" s="44" t="s">
        <v>35</v>
      </c>
      <c r="M339" s="44" t="s">
        <v>35</v>
      </c>
      <c r="N339" s="44" t="s">
        <v>35</v>
      </c>
      <c r="O339" s="44" t="s">
        <v>35</v>
      </c>
      <c r="P339" s="44" t="s">
        <v>35</v>
      </c>
      <c r="Q339" s="39" t="s">
        <v>36</v>
      </c>
      <c r="R339" s="39" t="s">
        <v>36</v>
      </c>
      <c r="S339" s="44" t="s">
        <v>39</v>
      </c>
      <c r="T339" s="44" t="s">
        <v>39</v>
      </c>
      <c r="U339" s="44" t="s">
        <v>35</v>
      </c>
      <c r="V339" s="44" t="s">
        <v>35</v>
      </c>
      <c r="W339" s="40" t="s">
        <v>36</v>
      </c>
      <c r="X339" s="39" t="s">
        <v>36</v>
      </c>
      <c r="Y339" s="39" t="s">
        <v>36</v>
      </c>
      <c r="Z339" s="44" t="s">
        <v>39</v>
      </c>
      <c r="AA339" s="44" t="s">
        <v>39</v>
      </c>
      <c r="AB339" s="44" t="s">
        <v>35</v>
      </c>
      <c r="AC339" s="44" t="s">
        <v>35</v>
      </c>
      <c r="AD339" s="44" t="s">
        <v>35</v>
      </c>
      <c r="AE339" s="39" t="s">
        <v>36</v>
      </c>
      <c r="AF339" s="39" t="s">
        <v>36</v>
      </c>
      <c r="AG339" s="44" t="s">
        <v>35</v>
      </c>
      <c r="AH339" s="44" t="s">
        <v>35</v>
      </c>
      <c r="AI339" s="37">
        <v>17</v>
      </c>
      <c r="AJ339" s="35">
        <f t="shared" si="328"/>
        <v>17</v>
      </c>
      <c r="AK339" s="35">
        <v>4</v>
      </c>
      <c r="AL339" s="35">
        <f t="shared" ref="AL339:AL343" si="333">E340+F340+G340+H340+I340+L340+M340+N340+O340+P340+S340+T340+U340+V340+Z340+AA340+AB340+AC340+AD340+AG340+AH340</f>
        <v>0</v>
      </c>
      <c r="AM339" s="36">
        <f t="shared" si="329"/>
        <v>0</v>
      </c>
      <c r="AN339" s="36">
        <f t="shared" si="330"/>
        <v>0</v>
      </c>
      <c r="AO339" s="36">
        <f t="shared" si="331"/>
        <v>168</v>
      </c>
      <c r="AP339" s="36">
        <f t="shared" si="332"/>
        <v>168</v>
      </c>
      <c r="AQ339" s="36">
        <v>0</v>
      </c>
      <c r="AR339" s="36">
        <v>0</v>
      </c>
      <c r="AS339" s="36">
        <v>0</v>
      </c>
      <c r="AT339" s="36">
        <v>0</v>
      </c>
      <c r="AU339" s="36">
        <v>0</v>
      </c>
      <c r="AV339" s="36">
        <v>0</v>
      </c>
      <c r="AW339" s="36">
        <v>0</v>
      </c>
      <c r="AX339" s="36">
        <v>0</v>
      </c>
      <c r="AY339" s="36">
        <v>0</v>
      </c>
      <c r="AZ339" s="36">
        <v>0</v>
      </c>
    </row>
    <row r="340" s="24" customFormat="1" ht="21" customHeight="1" spans="1:52">
      <c r="A340" s="42"/>
      <c r="B340" s="43"/>
      <c r="C340" s="42"/>
      <c r="D340" s="37" t="s">
        <v>37</v>
      </c>
      <c r="E340" s="38"/>
      <c r="F340" s="38"/>
      <c r="G340" s="38"/>
      <c r="H340" s="38"/>
      <c r="I340" s="38"/>
      <c r="J340" s="39"/>
      <c r="K340" s="39"/>
      <c r="L340" s="38"/>
      <c r="M340" s="38"/>
      <c r="N340" s="38"/>
      <c r="O340" s="38"/>
      <c r="P340" s="38"/>
      <c r="Q340" s="39"/>
      <c r="R340" s="39"/>
      <c r="S340" s="38"/>
      <c r="T340" s="38"/>
      <c r="U340" s="38"/>
      <c r="V340" s="38"/>
      <c r="W340" s="40"/>
      <c r="X340" s="39"/>
      <c r="Y340" s="39"/>
      <c r="Z340" s="38"/>
      <c r="AA340" s="38"/>
      <c r="AB340" s="38"/>
      <c r="AC340" s="38"/>
      <c r="AD340" s="38"/>
      <c r="AE340" s="39"/>
      <c r="AF340" s="39"/>
      <c r="AG340" s="38"/>
      <c r="AH340" s="38"/>
      <c r="AI340" s="37">
        <v>0</v>
      </c>
      <c r="AJ340" s="43"/>
      <c r="AK340" s="43"/>
      <c r="AL340" s="43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</row>
    <row r="341" s="24" customFormat="1" ht="21" customHeight="1" spans="1:52">
      <c r="A341" s="36">
        <v>169</v>
      </c>
      <c r="B341" s="35" t="s">
        <v>32</v>
      </c>
      <c r="C341" s="36" t="s">
        <v>257</v>
      </c>
      <c r="D341" s="37" t="s">
        <v>34</v>
      </c>
      <c r="E341" s="44" t="s">
        <v>35</v>
      </c>
      <c r="F341" s="44" t="s">
        <v>35</v>
      </c>
      <c r="G341" s="44" t="s">
        <v>35</v>
      </c>
      <c r="H341" s="44" t="s">
        <v>35</v>
      </c>
      <c r="I341" s="44" t="s">
        <v>35</v>
      </c>
      <c r="J341" s="39" t="s">
        <v>36</v>
      </c>
      <c r="K341" s="39" t="s">
        <v>36</v>
      </c>
      <c r="L341" s="44" t="s">
        <v>35</v>
      </c>
      <c r="M341" s="44" t="s">
        <v>35</v>
      </c>
      <c r="N341" s="44" t="s">
        <v>50</v>
      </c>
      <c r="O341" s="44" t="s">
        <v>35</v>
      </c>
      <c r="P341" s="44" t="s">
        <v>35</v>
      </c>
      <c r="Q341" s="39" t="s">
        <v>36</v>
      </c>
      <c r="R341" s="39" t="s">
        <v>36</v>
      </c>
      <c r="S341" s="44" t="s">
        <v>50</v>
      </c>
      <c r="T341" s="44" t="s">
        <v>50</v>
      </c>
      <c r="U341" s="44" t="s">
        <v>50</v>
      </c>
      <c r="V341" s="44" t="s">
        <v>50</v>
      </c>
      <c r="W341" s="40" t="s">
        <v>36</v>
      </c>
      <c r="X341" s="39" t="s">
        <v>36</v>
      </c>
      <c r="Y341" s="39" t="s">
        <v>36</v>
      </c>
      <c r="Z341" s="44" t="s">
        <v>35</v>
      </c>
      <c r="AA341" s="44" t="s">
        <v>35</v>
      </c>
      <c r="AB341" s="44" t="s">
        <v>35</v>
      </c>
      <c r="AC341" s="44" t="s">
        <v>35</v>
      </c>
      <c r="AD341" s="44" t="s">
        <v>35</v>
      </c>
      <c r="AE341" s="39" t="s">
        <v>36</v>
      </c>
      <c r="AF341" s="39"/>
      <c r="AG341" s="44" t="s">
        <v>35</v>
      </c>
      <c r="AH341" s="44" t="s">
        <v>35</v>
      </c>
      <c r="AI341" s="37">
        <v>16</v>
      </c>
      <c r="AJ341" s="35">
        <f t="shared" ref="AJ341:AJ345" si="334">AI341+AI342</f>
        <v>26</v>
      </c>
      <c r="AK341" s="35">
        <v>0</v>
      </c>
      <c r="AL341" s="35">
        <f t="shared" si="333"/>
        <v>33.5</v>
      </c>
      <c r="AM341" s="36">
        <f t="shared" ref="AM341:AM345" si="335">J342+K342+Q342+R342+X342+Y342+AE342+AF342</f>
        <v>9</v>
      </c>
      <c r="AN341" s="36">
        <f t="shared" ref="AN341:AN345" si="336">W342</f>
        <v>0</v>
      </c>
      <c r="AO341" s="36">
        <f>21*8</f>
        <v>168</v>
      </c>
      <c r="AP341" s="36">
        <f t="shared" ref="AP341:AP345" si="337">AL341+AM341+AN341+AO341-AQ341-AS341-AT341-AV341-AW341-AX341-AY341-AZ341-AU341</f>
        <v>170.5</v>
      </c>
      <c r="AQ341" s="36">
        <v>0</v>
      </c>
      <c r="AR341" s="36">
        <v>0</v>
      </c>
      <c r="AS341" s="36">
        <v>0</v>
      </c>
      <c r="AT341" s="36">
        <v>40</v>
      </c>
      <c r="AU341" s="36">
        <v>0</v>
      </c>
      <c r="AV341" s="36">
        <v>0</v>
      </c>
      <c r="AW341" s="36">
        <v>0</v>
      </c>
      <c r="AX341" s="36">
        <v>0</v>
      </c>
      <c r="AY341" s="36">
        <v>0</v>
      </c>
      <c r="AZ341" s="36">
        <v>0</v>
      </c>
    </row>
    <row r="342" s="24" customFormat="1" ht="21" customHeight="1" spans="1:52">
      <c r="A342" s="42"/>
      <c r="B342" s="43"/>
      <c r="C342" s="42"/>
      <c r="D342" s="37" t="s">
        <v>37</v>
      </c>
      <c r="E342" s="38">
        <v>1.5</v>
      </c>
      <c r="F342" s="38"/>
      <c r="G342" s="38"/>
      <c r="H342" s="38">
        <v>1</v>
      </c>
      <c r="I342" s="38"/>
      <c r="J342" s="39"/>
      <c r="K342" s="39"/>
      <c r="L342" s="38"/>
      <c r="M342" s="38"/>
      <c r="N342" s="38"/>
      <c r="O342" s="38">
        <v>3.5</v>
      </c>
      <c r="P342" s="38"/>
      <c r="Q342" s="39"/>
      <c r="R342" s="39"/>
      <c r="S342" s="38"/>
      <c r="T342" s="38"/>
      <c r="U342" s="38"/>
      <c r="V342" s="38"/>
      <c r="W342" s="40"/>
      <c r="X342" s="39"/>
      <c r="Y342" s="39"/>
      <c r="Z342" s="38">
        <v>4</v>
      </c>
      <c r="AA342" s="38">
        <v>5</v>
      </c>
      <c r="AB342" s="38">
        <v>5</v>
      </c>
      <c r="AC342" s="38">
        <v>5</v>
      </c>
      <c r="AD342" s="38">
        <v>2.5</v>
      </c>
      <c r="AE342" s="39"/>
      <c r="AF342" s="39">
        <v>9</v>
      </c>
      <c r="AG342" s="38">
        <v>2</v>
      </c>
      <c r="AH342" s="38">
        <v>4</v>
      </c>
      <c r="AI342" s="37">
        <v>10</v>
      </c>
      <c r="AJ342" s="43"/>
      <c r="AK342" s="43"/>
      <c r="AL342" s="43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</row>
    <row r="343" s="24" customFormat="1" ht="21" customHeight="1" spans="1:52">
      <c r="A343" s="36">
        <v>170</v>
      </c>
      <c r="B343" s="35" t="s">
        <v>32</v>
      </c>
      <c r="C343" s="36" t="s">
        <v>258</v>
      </c>
      <c r="D343" s="37" t="s">
        <v>34</v>
      </c>
      <c r="E343" s="44" t="s">
        <v>35</v>
      </c>
      <c r="F343" s="44" t="s">
        <v>35</v>
      </c>
      <c r="G343" s="44" t="s">
        <v>35</v>
      </c>
      <c r="H343" s="44" t="s">
        <v>35</v>
      </c>
      <c r="I343" s="44" t="s">
        <v>35</v>
      </c>
      <c r="J343" s="45" t="s">
        <v>36</v>
      </c>
      <c r="K343" s="45" t="s">
        <v>36</v>
      </c>
      <c r="L343" s="44" t="s">
        <v>35</v>
      </c>
      <c r="M343" s="44" t="s">
        <v>215</v>
      </c>
      <c r="N343" s="44" t="s">
        <v>35</v>
      </c>
      <c r="O343" s="44" t="s">
        <v>35</v>
      </c>
      <c r="P343" s="44" t="s">
        <v>35</v>
      </c>
      <c r="Q343" s="45" t="s">
        <v>36</v>
      </c>
      <c r="R343" s="45" t="s">
        <v>36</v>
      </c>
      <c r="S343" s="44" t="s">
        <v>35</v>
      </c>
      <c r="T343" s="44" t="s">
        <v>35</v>
      </c>
      <c r="U343" s="44" t="s">
        <v>35</v>
      </c>
      <c r="V343" s="44" t="s">
        <v>35</v>
      </c>
      <c r="W343" s="46" t="s">
        <v>36</v>
      </c>
      <c r="X343" s="45" t="s">
        <v>36</v>
      </c>
      <c r="Y343" s="45" t="s">
        <v>36</v>
      </c>
      <c r="Z343" s="44" t="s">
        <v>35</v>
      </c>
      <c r="AA343" s="44" t="s">
        <v>35</v>
      </c>
      <c r="AB343" s="44" t="s">
        <v>35</v>
      </c>
      <c r="AC343" s="44" t="s">
        <v>35</v>
      </c>
      <c r="AD343" s="44" t="s">
        <v>35</v>
      </c>
      <c r="AE343" s="45" t="s">
        <v>117</v>
      </c>
      <c r="AF343" s="45"/>
      <c r="AG343" s="44"/>
      <c r="AH343" s="44"/>
      <c r="AI343" s="50">
        <v>18</v>
      </c>
      <c r="AJ343" s="51">
        <f t="shared" si="334"/>
        <v>18</v>
      </c>
      <c r="AK343" s="51">
        <v>0</v>
      </c>
      <c r="AL343" s="52">
        <f t="shared" si="333"/>
        <v>0</v>
      </c>
      <c r="AM343" s="53">
        <f t="shared" si="335"/>
        <v>0</v>
      </c>
      <c r="AN343" s="53">
        <f t="shared" si="336"/>
        <v>0</v>
      </c>
      <c r="AO343" s="53">
        <f>19*8</f>
        <v>152</v>
      </c>
      <c r="AP343" s="54">
        <f t="shared" si="337"/>
        <v>148.5</v>
      </c>
      <c r="AQ343" s="54">
        <v>0</v>
      </c>
      <c r="AR343" s="36">
        <v>0</v>
      </c>
      <c r="AS343" s="53">
        <v>0</v>
      </c>
      <c r="AT343" s="53">
        <v>3.5</v>
      </c>
      <c r="AU343" s="53">
        <v>0</v>
      </c>
      <c r="AV343" s="53">
        <v>0</v>
      </c>
      <c r="AW343" s="53">
        <v>0</v>
      </c>
      <c r="AX343" s="53">
        <v>0</v>
      </c>
      <c r="AY343" s="53">
        <v>0</v>
      </c>
      <c r="AZ343" s="53">
        <v>0</v>
      </c>
    </row>
    <row r="344" s="24" customFormat="1" ht="21" customHeight="1" spans="1:52">
      <c r="A344" s="42"/>
      <c r="B344" s="43"/>
      <c r="C344" s="42"/>
      <c r="D344" s="37" t="s">
        <v>37</v>
      </c>
      <c r="E344" s="44"/>
      <c r="F344" s="44"/>
      <c r="G344" s="44"/>
      <c r="H344" s="44"/>
      <c r="I344" s="44"/>
      <c r="J344" s="45"/>
      <c r="K344" s="45"/>
      <c r="L344" s="44"/>
      <c r="M344" s="44"/>
      <c r="N344" s="44"/>
      <c r="O344" s="44"/>
      <c r="P344" s="44"/>
      <c r="Q344" s="45"/>
      <c r="R344" s="45"/>
      <c r="S344" s="44"/>
      <c r="T344" s="44"/>
      <c r="U344" s="44"/>
      <c r="V344" s="44"/>
      <c r="W344" s="46"/>
      <c r="X344" s="45"/>
      <c r="Y344" s="45"/>
      <c r="Z344" s="44"/>
      <c r="AA344" s="44"/>
      <c r="AB344" s="44"/>
      <c r="AC344" s="44"/>
      <c r="AD344" s="44"/>
      <c r="AE344" s="45"/>
      <c r="AF344" s="45"/>
      <c r="AG344" s="44"/>
      <c r="AH344" s="44"/>
      <c r="AI344" s="50">
        <v>0</v>
      </c>
      <c r="AJ344" s="56"/>
      <c r="AK344" s="56"/>
      <c r="AL344" s="57"/>
      <c r="AM344" s="58"/>
      <c r="AN344" s="58"/>
      <c r="AO344" s="58"/>
      <c r="AP344" s="59"/>
      <c r="AQ344" s="59"/>
      <c r="AR344" s="42"/>
      <c r="AS344" s="58"/>
      <c r="AT344" s="58"/>
      <c r="AU344" s="58"/>
      <c r="AV344" s="58"/>
      <c r="AW344" s="58"/>
      <c r="AX344" s="58"/>
      <c r="AY344" s="58"/>
      <c r="AZ344" s="58"/>
    </row>
    <row r="345" s="24" customFormat="1" ht="21" customHeight="1" spans="1:52">
      <c r="A345" s="36">
        <v>171</v>
      </c>
      <c r="B345" s="35" t="s">
        <v>32</v>
      </c>
      <c r="C345" s="36" t="s">
        <v>259</v>
      </c>
      <c r="D345" s="37" t="s">
        <v>34</v>
      </c>
      <c r="E345" s="44" t="s">
        <v>35</v>
      </c>
      <c r="F345" s="44" t="s">
        <v>35</v>
      </c>
      <c r="G345" s="44" t="s">
        <v>35</v>
      </c>
      <c r="H345" s="44" t="s">
        <v>35</v>
      </c>
      <c r="I345" s="44" t="s">
        <v>35</v>
      </c>
      <c r="J345" s="39" t="s">
        <v>35</v>
      </c>
      <c r="K345" s="39" t="s">
        <v>36</v>
      </c>
      <c r="L345" s="44" t="s">
        <v>35</v>
      </c>
      <c r="M345" s="44" t="s">
        <v>35</v>
      </c>
      <c r="N345" s="44" t="s">
        <v>35</v>
      </c>
      <c r="O345" s="44" t="s">
        <v>35</v>
      </c>
      <c r="P345" s="44" t="s">
        <v>35</v>
      </c>
      <c r="Q345" s="39" t="s">
        <v>35</v>
      </c>
      <c r="R345" s="39" t="s">
        <v>36</v>
      </c>
      <c r="S345" s="44" t="s">
        <v>35</v>
      </c>
      <c r="T345" s="44" t="s">
        <v>35</v>
      </c>
      <c r="U345" s="44" t="s">
        <v>35</v>
      </c>
      <c r="V345" s="44" t="s">
        <v>35</v>
      </c>
      <c r="W345" s="40" t="s">
        <v>35</v>
      </c>
      <c r="X345" s="39" t="s">
        <v>35</v>
      </c>
      <c r="Y345" s="39" t="s">
        <v>35</v>
      </c>
      <c r="Z345" s="44" t="s">
        <v>35</v>
      </c>
      <c r="AA345" s="44" t="s">
        <v>35</v>
      </c>
      <c r="AB345" s="44" t="s">
        <v>35</v>
      </c>
      <c r="AC345" s="44" t="s">
        <v>35</v>
      </c>
      <c r="AD345" s="44" t="s">
        <v>35</v>
      </c>
      <c r="AE345" s="39" t="s">
        <v>35</v>
      </c>
      <c r="AF345" s="39" t="s">
        <v>35</v>
      </c>
      <c r="AG345" s="44" t="s">
        <v>35</v>
      </c>
      <c r="AH345" s="44" t="s">
        <v>35</v>
      </c>
      <c r="AI345" s="50">
        <v>0</v>
      </c>
      <c r="AJ345" s="51">
        <f t="shared" si="334"/>
        <v>0</v>
      </c>
      <c r="AK345" s="51">
        <v>0</v>
      </c>
      <c r="AL345" s="52">
        <f t="shared" ref="AL345:AL349" si="338">E346+F346+G346+H346+I346+L346+M346+N346+O346+P346+S346+T346+U346+V346+Z346+AA346+AB346+AC346+AD346+AG346+AH346</f>
        <v>0</v>
      </c>
      <c r="AM345" s="53">
        <f t="shared" si="335"/>
        <v>0</v>
      </c>
      <c r="AN345" s="53">
        <f t="shared" si="336"/>
        <v>0</v>
      </c>
      <c r="AO345" s="53">
        <f>21*4</f>
        <v>84</v>
      </c>
      <c r="AP345" s="54">
        <f t="shared" si="337"/>
        <v>84</v>
      </c>
      <c r="AQ345" s="54">
        <v>0</v>
      </c>
      <c r="AR345" s="36">
        <v>0</v>
      </c>
      <c r="AS345" s="53">
        <v>0</v>
      </c>
      <c r="AT345" s="53">
        <v>0</v>
      </c>
      <c r="AU345" s="53">
        <v>0</v>
      </c>
      <c r="AV345" s="53">
        <v>0</v>
      </c>
      <c r="AW345" s="53">
        <v>0</v>
      </c>
      <c r="AX345" s="53">
        <v>0</v>
      </c>
      <c r="AY345" s="53">
        <v>0</v>
      </c>
      <c r="AZ345" s="53">
        <v>0</v>
      </c>
    </row>
    <row r="346" s="24" customFormat="1" ht="21" customHeight="1" spans="1:52">
      <c r="A346" s="42"/>
      <c r="B346" s="43"/>
      <c r="C346" s="42"/>
      <c r="D346" s="37" t="s">
        <v>37</v>
      </c>
      <c r="E346" s="44"/>
      <c r="F346" s="44"/>
      <c r="G346" s="44"/>
      <c r="H346" s="44"/>
      <c r="I346" s="44"/>
      <c r="J346" s="45"/>
      <c r="K346" s="45"/>
      <c r="L346" s="44"/>
      <c r="M346" s="44"/>
      <c r="N346" s="44"/>
      <c r="O346" s="44"/>
      <c r="P346" s="44"/>
      <c r="Q346" s="45"/>
      <c r="R346" s="45"/>
      <c r="S346" s="44"/>
      <c r="T346" s="44"/>
      <c r="U346" s="44"/>
      <c r="V346" s="44"/>
      <c r="W346" s="46"/>
      <c r="X346" s="45"/>
      <c r="Y346" s="45"/>
      <c r="Z346" s="44"/>
      <c r="AA346" s="44"/>
      <c r="AB346" s="44"/>
      <c r="AC346" s="44"/>
      <c r="AD346" s="44"/>
      <c r="AE346" s="45"/>
      <c r="AF346" s="45"/>
      <c r="AG346" s="44"/>
      <c r="AH346" s="44"/>
      <c r="AI346" s="50">
        <v>0</v>
      </c>
      <c r="AJ346" s="56"/>
      <c r="AK346" s="56"/>
      <c r="AL346" s="57"/>
      <c r="AM346" s="58"/>
      <c r="AN346" s="58"/>
      <c r="AO346" s="58"/>
      <c r="AP346" s="59"/>
      <c r="AQ346" s="59"/>
      <c r="AR346" s="42"/>
      <c r="AS346" s="58"/>
      <c r="AT346" s="58"/>
      <c r="AU346" s="58"/>
      <c r="AV346" s="58"/>
      <c r="AW346" s="58"/>
      <c r="AX346" s="58"/>
      <c r="AY346" s="58"/>
      <c r="AZ346" s="58"/>
    </row>
    <row r="347" s="24" customFormat="1" ht="21" customHeight="1" spans="1:52">
      <c r="A347" s="36">
        <v>172</v>
      </c>
      <c r="B347" s="35" t="s">
        <v>32</v>
      </c>
      <c r="C347" s="36" t="s">
        <v>260</v>
      </c>
      <c r="D347" s="37" t="s">
        <v>34</v>
      </c>
      <c r="E347" s="38"/>
      <c r="F347" s="44" t="s">
        <v>35</v>
      </c>
      <c r="G347" s="44" t="s">
        <v>35</v>
      </c>
      <c r="H347" s="44" t="s">
        <v>35</v>
      </c>
      <c r="I347" s="44" t="s">
        <v>35</v>
      </c>
      <c r="J347" s="39"/>
      <c r="K347" s="39" t="s">
        <v>36</v>
      </c>
      <c r="L347" s="44" t="s">
        <v>35</v>
      </c>
      <c r="M347" s="44" t="s">
        <v>35</v>
      </c>
      <c r="N347" s="44" t="s">
        <v>35</v>
      </c>
      <c r="O347" s="44" t="s">
        <v>35</v>
      </c>
      <c r="P347" s="44" t="s">
        <v>35</v>
      </c>
      <c r="Q347" s="39" t="s">
        <v>36</v>
      </c>
      <c r="R347" s="39" t="s">
        <v>36</v>
      </c>
      <c r="S347" s="44" t="s">
        <v>39</v>
      </c>
      <c r="T347" s="44" t="s">
        <v>39</v>
      </c>
      <c r="U347" s="44" t="s">
        <v>39</v>
      </c>
      <c r="V347" s="44" t="s">
        <v>39</v>
      </c>
      <c r="W347" s="40" t="s">
        <v>39</v>
      </c>
      <c r="X347" s="45" t="s">
        <v>36</v>
      </c>
      <c r="Y347" s="45" t="s">
        <v>36</v>
      </c>
      <c r="Z347" s="44" t="s">
        <v>35</v>
      </c>
      <c r="AA347" s="44" t="s">
        <v>35</v>
      </c>
      <c r="AB347" s="44" t="s">
        <v>35</v>
      </c>
      <c r="AC347" s="44" t="s">
        <v>35</v>
      </c>
      <c r="AD347" s="44" t="s">
        <v>35</v>
      </c>
      <c r="AE347" s="39"/>
      <c r="AF347" s="39" t="s">
        <v>36</v>
      </c>
      <c r="AG347" s="44" t="s">
        <v>35</v>
      </c>
      <c r="AH347" s="44" t="s">
        <v>35</v>
      </c>
      <c r="AI347" s="37">
        <v>16</v>
      </c>
      <c r="AJ347" s="35">
        <f t="shared" ref="AJ347:AJ351" si="339">AI347+AI348</f>
        <v>27</v>
      </c>
      <c r="AK347" s="35">
        <v>5</v>
      </c>
      <c r="AL347" s="35">
        <f t="shared" si="338"/>
        <v>28</v>
      </c>
      <c r="AM347" s="36">
        <f t="shared" ref="AM347:AM351" si="340">J348+K348+Q348+R348+X348+Y348+AE348+AF348</f>
        <v>15</v>
      </c>
      <c r="AN347" s="36">
        <f t="shared" ref="AN347:AN351" si="341">W348</f>
        <v>0</v>
      </c>
      <c r="AO347" s="36">
        <f>20*8</f>
        <v>160</v>
      </c>
      <c r="AP347" s="36">
        <f t="shared" ref="AP347:AP351" si="342">AL347+AM347+AN347+AO347-AQ347-AS347-AT347-AV347-AW347-AX347-AY347-AZ347-AU347</f>
        <v>203</v>
      </c>
      <c r="AQ347" s="36">
        <v>0</v>
      </c>
      <c r="AR347" s="36">
        <v>0</v>
      </c>
      <c r="AS347" s="36">
        <v>0</v>
      </c>
      <c r="AT347" s="53">
        <v>0</v>
      </c>
      <c r="AU347" s="36">
        <v>0</v>
      </c>
      <c r="AV347" s="36">
        <v>0</v>
      </c>
      <c r="AW347" s="36">
        <v>0</v>
      </c>
      <c r="AX347" s="36">
        <v>0</v>
      </c>
      <c r="AY347" s="36">
        <v>0</v>
      </c>
      <c r="AZ347" s="36">
        <v>0</v>
      </c>
    </row>
    <row r="348" s="24" customFormat="1" ht="21" customHeight="1" spans="1:52">
      <c r="A348" s="42"/>
      <c r="B348" s="43"/>
      <c r="C348" s="42"/>
      <c r="D348" s="37" t="s">
        <v>37</v>
      </c>
      <c r="E348" s="38"/>
      <c r="F348" s="38"/>
      <c r="G348" s="38">
        <v>1.5</v>
      </c>
      <c r="H348" s="38">
        <v>2</v>
      </c>
      <c r="I348" s="38"/>
      <c r="J348" s="39">
        <v>9</v>
      </c>
      <c r="K348" s="39"/>
      <c r="L348" s="38">
        <v>1</v>
      </c>
      <c r="M348" s="38">
        <v>2</v>
      </c>
      <c r="N348" s="38">
        <v>3</v>
      </c>
      <c r="O348" s="38">
        <v>4</v>
      </c>
      <c r="P348" s="38"/>
      <c r="Q348" s="39"/>
      <c r="R348" s="39"/>
      <c r="S348" s="38"/>
      <c r="T348" s="38">
        <v>2</v>
      </c>
      <c r="U348" s="38">
        <v>2</v>
      </c>
      <c r="V348" s="38">
        <v>1</v>
      </c>
      <c r="W348" s="40"/>
      <c r="X348" s="39"/>
      <c r="Y348" s="39"/>
      <c r="Z348" s="38">
        <v>1</v>
      </c>
      <c r="AA348" s="38">
        <v>2</v>
      </c>
      <c r="AB348" s="38">
        <v>2</v>
      </c>
      <c r="AC348" s="38">
        <v>1</v>
      </c>
      <c r="AD348" s="38"/>
      <c r="AE348" s="39">
        <v>6</v>
      </c>
      <c r="AF348" s="39"/>
      <c r="AG348" s="38">
        <v>1.5</v>
      </c>
      <c r="AH348" s="38">
        <v>2</v>
      </c>
      <c r="AI348" s="37">
        <v>11</v>
      </c>
      <c r="AJ348" s="43"/>
      <c r="AK348" s="43"/>
      <c r="AL348" s="43"/>
      <c r="AM348" s="42"/>
      <c r="AN348" s="42"/>
      <c r="AO348" s="42"/>
      <c r="AP348" s="42"/>
      <c r="AQ348" s="42"/>
      <c r="AR348" s="42"/>
      <c r="AS348" s="42"/>
      <c r="AT348" s="58"/>
      <c r="AU348" s="42"/>
      <c r="AV348" s="42"/>
      <c r="AW348" s="42"/>
      <c r="AX348" s="42"/>
      <c r="AY348" s="42"/>
      <c r="AZ348" s="42"/>
    </row>
    <row r="349" s="24" customFormat="1" ht="21" customHeight="1" spans="1:52">
      <c r="A349" s="36">
        <v>173</v>
      </c>
      <c r="B349" s="35" t="s">
        <v>32</v>
      </c>
      <c r="C349" s="36" t="s">
        <v>261</v>
      </c>
      <c r="D349" s="37" t="s">
        <v>34</v>
      </c>
      <c r="E349" s="44"/>
      <c r="F349" s="44"/>
      <c r="G349" s="44"/>
      <c r="H349" s="44"/>
      <c r="I349" s="44" t="s">
        <v>35</v>
      </c>
      <c r="J349" s="39" t="s">
        <v>36</v>
      </c>
      <c r="K349" s="39" t="s">
        <v>36</v>
      </c>
      <c r="L349" s="44" t="s">
        <v>35</v>
      </c>
      <c r="M349" s="44" t="s">
        <v>35</v>
      </c>
      <c r="N349" s="44" t="s">
        <v>35</v>
      </c>
      <c r="O349" s="44" t="s">
        <v>35</v>
      </c>
      <c r="P349" s="44" t="s">
        <v>35</v>
      </c>
      <c r="Q349" s="39" t="s">
        <v>36</v>
      </c>
      <c r="R349" s="39" t="s">
        <v>36</v>
      </c>
      <c r="S349" s="44" t="s">
        <v>35</v>
      </c>
      <c r="T349" s="44" t="s">
        <v>35</v>
      </c>
      <c r="U349" s="44" t="s">
        <v>35</v>
      </c>
      <c r="V349" s="44" t="s">
        <v>35</v>
      </c>
      <c r="W349" s="40" t="s">
        <v>36</v>
      </c>
      <c r="X349" s="39" t="s">
        <v>36</v>
      </c>
      <c r="Y349" s="39" t="s">
        <v>36</v>
      </c>
      <c r="Z349" s="44" t="s">
        <v>35</v>
      </c>
      <c r="AA349" s="44" t="s">
        <v>35</v>
      </c>
      <c r="AB349" s="44" t="s">
        <v>35</v>
      </c>
      <c r="AC349" s="44" t="s">
        <v>35</v>
      </c>
      <c r="AD349" s="44" t="s">
        <v>35</v>
      </c>
      <c r="AE349" s="39" t="s">
        <v>36</v>
      </c>
      <c r="AF349" s="39" t="s">
        <v>36</v>
      </c>
      <c r="AG349" s="44" t="s">
        <v>35</v>
      </c>
      <c r="AH349" s="44" t="s">
        <v>35</v>
      </c>
      <c r="AI349" s="50">
        <v>17</v>
      </c>
      <c r="AJ349" s="51">
        <f t="shared" si="339"/>
        <v>17</v>
      </c>
      <c r="AK349" s="51">
        <v>0</v>
      </c>
      <c r="AL349" s="52">
        <f t="shared" si="338"/>
        <v>0</v>
      </c>
      <c r="AM349" s="53">
        <f t="shared" si="340"/>
        <v>0</v>
      </c>
      <c r="AN349" s="53">
        <f t="shared" si="341"/>
        <v>0</v>
      </c>
      <c r="AO349" s="53">
        <f>17*8</f>
        <v>136</v>
      </c>
      <c r="AP349" s="54">
        <f t="shared" si="342"/>
        <v>136</v>
      </c>
      <c r="AQ349" s="54">
        <v>0</v>
      </c>
      <c r="AR349" s="36">
        <v>0</v>
      </c>
      <c r="AS349" s="53">
        <v>0</v>
      </c>
      <c r="AT349" s="53">
        <v>0</v>
      </c>
      <c r="AU349" s="53">
        <v>0</v>
      </c>
      <c r="AV349" s="53">
        <v>0</v>
      </c>
      <c r="AW349" s="53">
        <v>0</v>
      </c>
      <c r="AX349" s="53">
        <v>0</v>
      </c>
      <c r="AY349" s="53">
        <v>0</v>
      </c>
      <c r="AZ349" s="53">
        <v>0</v>
      </c>
    </row>
    <row r="350" s="24" customFormat="1" ht="21" customHeight="1" spans="1:52">
      <c r="A350" s="42"/>
      <c r="B350" s="43"/>
      <c r="C350" s="42"/>
      <c r="D350" s="37" t="s">
        <v>37</v>
      </c>
      <c r="E350" s="44"/>
      <c r="F350" s="44"/>
      <c r="G350" s="44"/>
      <c r="H350" s="44"/>
      <c r="I350" s="44"/>
      <c r="J350" s="45"/>
      <c r="K350" s="45"/>
      <c r="L350" s="44"/>
      <c r="M350" s="44"/>
      <c r="N350" s="44"/>
      <c r="O350" s="44"/>
      <c r="P350" s="44"/>
      <c r="Q350" s="45"/>
      <c r="R350" s="45"/>
      <c r="S350" s="44"/>
      <c r="T350" s="44"/>
      <c r="U350" s="44"/>
      <c r="V350" s="44"/>
      <c r="W350" s="46"/>
      <c r="X350" s="45"/>
      <c r="Y350" s="45"/>
      <c r="Z350" s="44"/>
      <c r="AA350" s="44"/>
      <c r="AB350" s="44"/>
      <c r="AC350" s="44"/>
      <c r="AD350" s="44"/>
      <c r="AE350" s="45"/>
      <c r="AF350" s="45"/>
      <c r="AG350" s="44"/>
      <c r="AH350" s="44"/>
      <c r="AI350" s="50">
        <v>0</v>
      </c>
      <c r="AJ350" s="56"/>
      <c r="AK350" s="56"/>
      <c r="AL350" s="57"/>
      <c r="AM350" s="58"/>
      <c r="AN350" s="58"/>
      <c r="AO350" s="58"/>
      <c r="AP350" s="59"/>
      <c r="AQ350" s="59"/>
      <c r="AR350" s="42"/>
      <c r="AS350" s="58"/>
      <c r="AT350" s="58"/>
      <c r="AU350" s="58"/>
      <c r="AV350" s="58"/>
      <c r="AW350" s="58"/>
      <c r="AX350" s="58"/>
      <c r="AY350" s="58"/>
      <c r="AZ350" s="58"/>
    </row>
    <row r="351" s="24" customFormat="1" ht="21" customHeight="1" spans="1:52">
      <c r="A351" s="36">
        <v>174</v>
      </c>
      <c r="B351" s="35" t="s">
        <v>32</v>
      </c>
      <c r="C351" s="36" t="s">
        <v>262</v>
      </c>
      <c r="D351" s="37" t="s">
        <v>34</v>
      </c>
      <c r="E351" s="38"/>
      <c r="F351" s="38"/>
      <c r="G351" s="38"/>
      <c r="H351" s="38"/>
      <c r="I351" s="38"/>
      <c r="J351" s="39"/>
      <c r="K351" s="39"/>
      <c r="L351" s="44" t="s">
        <v>35</v>
      </c>
      <c r="M351" s="44" t="s">
        <v>35</v>
      </c>
      <c r="N351" s="44" t="s">
        <v>35</v>
      </c>
      <c r="O351" s="44" t="s">
        <v>35</v>
      </c>
      <c r="P351" s="44" t="s">
        <v>35</v>
      </c>
      <c r="Q351" s="39" t="s">
        <v>36</v>
      </c>
      <c r="R351" s="39" t="s">
        <v>36</v>
      </c>
      <c r="S351" s="44" t="s">
        <v>50</v>
      </c>
      <c r="T351" s="44" t="s">
        <v>35</v>
      </c>
      <c r="U351" s="44" t="s">
        <v>35</v>
      </c>
      <c r="V351" s="44" t="s">
        <v>35</v>
      </c>
      <c r="W351" s="40" t="s">
        <v>36</v>
      </c>
      <c r="X351" s="39" t="s">
        <v>36</v>
      </c>
      <c r="Y351" s="39" t="s">
        <v>36</v>
      </c>
      <c r="Z351" s="44" t="s">
        <v>35</v>
      </c>
      <c r="AA351" s="44" t="s">
        <v>35</v>
      </c>
      <c r="AB351" s="44" t="s">
        <v>35</v>
      </c>
      <c r="AC351" s="44" t="s">
        <v>35</v>
      </c>
      <c r="AD351" s="44" t="s">
        <v>35</v>
      </c>
      <c r="AE351" s="39" t="s">
        <v>36</v>
      </c>
      <c r="AF351" s="39" t="s">
        <v>36</v>
      </c>
      <c r="AG351" s="44" t="s">
        <v>35</v>
      </c>
      <c r="AH351" s="44" t="s">
        <v>35</v>
      </c>
      <c r="AI351" s="37">
        <v>15</v>
      </c>
      <c r="AJ351" s="35">
        <f t="shared" si="339"/>
        <v>15</v>
      </c>
      <c r="AK351" s="35">
        <v>0</v>
      </c>
      <c r="AL351" s="35">
        <f t="shared" ref="AL351:AL355" si="343">E352+F352+G352+H352+I352+L352+M352+N352+O352+P352+S352+T352+U352+V352+Z352+AA352+AB352+AC352+AD352+AG352+AH352</f>
        <v>4</v>
      </c>
      <c r="AM351" s="36">
        <f t="shared" si="340"/>
        <v>0</v>
      </c>
      <c r="AN351" s="36">
        <f t="shared" si="341"/>
        <v>0</v>
      </c>
      <c r="AO351" s="36">
        <f>16*8</f>
        <v>128</v>
      </c>
      <c r="AP351" s="36">
        <f t="shared" si="342"/>
        <v>124</v>
      </c>
      <c r="AQ351" s="36">
        <v>0</v>
      </c>
      <c r="AR351" s="36">
        <v>0</v>
      </c>
      <c r="AS351" s="36">
        <v>0</v>
      </c>
      <c r="AT351" s="36">
        <v>8</v>
      </c>
      <c r="AU351" s="36">
        <v>0</v>
      </c>
      <c r="AV351" s="36">
        <v>0</v>
      </c>
      <c r="AW351" s="36">
        <v>0</v>
      </c>
      <c r="AX351" s="36">
        <v>0</v>
      </c>
      <c r="AY351" s="36">
        <v>0</v>
      </c>
      <c r="AZ351" s="36">
        <v>0</v>
      </c>
    </row>
    <row r="352" s="24" customFormat="1" ht="21" customHeight="1" spans="1:52">
      <c r="A352" s="42"/>
      <c r="B352" s="43"/>
      <c r="C352" s="42"/>
      <c r="D352" s="37" t="s">
        <v>37</v>
      </c>
      <c r="E352" s="38"/>
      <c r="F352" s="38"/>
      <c r="G352" s="38"/>
      <c r="H352" s="38"/>
      <c r="I352" s="38"/>
      <c r="J352" s="39"/>
      <c r="K352" s="39"/>
      <c r="L352" s="38"/>
      <c r="M352" s="38"/>
      <c r="N352" s="38"/>
      <c r="O352" s="38"/>
      <c r="P352" s="38"/>
      <c r="Q352" s="39"/>
      <c r="R352" s="39"/>
      <c r="S352" s="38"/>
      <c r="T352" s="38"/>
      <c r="U352" s="38">
        <v>1.5</v>
      </c>
      <c r="V352" s="38">
        <v>1.5</v>
      </c>
      <c r="W352" s="40"/>
      <c r="X352" s="39"/>
      <c r="Y352" s="39"/>
      <c r="Z352" s="38"/>
      <c r="AA352" s="38"/>
      <c r="AB352" s="38"/>
      <c r="AC352" s="38"/>
      <c r="AD352" s="38"/>
      <c r="AE352" s="39"/>
      <c r="AF352" s="39"/>
      <c r="AG352" s="38">
        <v>1</v>
      </c>
      <c r="AH352" s="38"/>
      <c r="AI352" s="37">
        <v>0</v>
      </c>
      <c r="AJ352" s="43"/>
      <c r="AK352" s="43"/>
      <c r="AL352" s="43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</row>
    <row r="353" s="24" customFormat="1" ht="21" customHeight="1" spans="1:52">
      <c r="A353" s="36">
        <v>175</v>
      </c>
      <c r="B353" s="35" t="s">
        <v>32</v>
      </c>
      <c r="C353" s="36" t="s">
        <v>263</v>
      </c>
      <c r="D353" s="37" t="s">
        <v>34</v>
      </c>
      <c r="E353" s="38"/>
      <c r="F353" s="38"/>
      <c r="G353" s="38"/>
      <c r="H353" s="38"/>
      <c r="I353" s="38"/>
      <c r="J353" s="39"/>
      <c r="K353" s="39"/>
      <c r="L353" s="44" t="s">
        <v>39</v>
      </c>
      <c r="M353" s="44" t="s">
        <v>39</v>
      </c>
      <c r="N353" s="44" t="s">
        <v>39</v>
      </c>
      <c r="O353" s="44" t="s">
        <v>39</v>
      </c>
      <c r="P353" s="44" t="s">
        <v>39</v>
      </c>
      <c r="Q353" s="39" t="s">
        <v>39</v>
      </c>
      <c r="R353" s="39" t="s">
        <v>39</v>
      </c>
      <c r="S353" s="44" t="s">
        <v>39</v>
      </c>
      <c r="T353" s="44" t="s">
        <v>39</v>
      </c>
      <c r="U353" s="44" t="s">
        <v>39</v>
      </c>
      <c r="V353" s="44" t="s">
        <v>39</v>
      </c>
      <c r="W353" s="40" t="s">
        <v>39</v>
      </c>
      <c r="X353" s="39" t="s">
        <v>39</v>
      </c>
      <c r="Y353" s="39" t="s">
        <v>39</v>
      </c>
      <c r="Z353" s="44" t="s">
        <v>39</v>
      </c>
      <c r="AA353" s="44" t="s">
        <v>39</v>
      </c>
      <c r="AB353" s="44" t="s">
        <v>39</v>
      </c>
      <c r="AC353" s="44" t="s">
        <v>39</v>
      </c>
      <c r="AD353" s="44" t="s">
        <v>39</v>
      </c>
      <c r="AE353" s="39" t="s">
        <v>39</v>
      </c>
      <c r="AF353" s="39" t="s">
        <v>39</v>
      </c>
      <c r="AG353" s="44" t="s">
        <v>39</v>
      </c>
      <c r="AH353" s="44" t="s">
        <v>39</v>
      </c>
      <c r="AI353" s="37">
        <v>0</v>
      </c>
      <c r="AJ353" s="35">
        <f t="shared" ref="AJ353:AJ357" si="344">AI353+AI354</f>
        <v>0</v>
      </c>
      <c r="AK353" s="35">
        <v>23</v>
      </c>
      <c r="AL353" s="35">
        <f t="shared" si="343"/>
        <v>0</v>
      </c>
      <c r="AM353" s="36">
        <f t="shared" ref="AM353:AM357" si="345">J354+K354+Q354+R354+X354+Y354+AE354+AF354</f>
        <v>0</v>
      </c>
      <c r="AN353" s="36">
        <f t="shared" ref="AN353:AN357" si="346">W354</f>
        <v>0</v>
      </c>
      <c r="AO353" s="36">
        <f>16*8</f>
        <v>128</v>
      </c>
      <c r="AP353" s="36">
        <f t="shared" ref="AP353:AP357" si="347">AL353+AM353+AN353+AO353-AQ353-AS353-AT353-AV353-AW353-AX353-AY353-AZ353-AU353</f>
        <v>128</v>
      </c>
      <c r="AQ353" s="36">
        <v>0</v>
      </c>
      <c r="AR353" s="36">
        <v>0</v>
      </c>
      <c r="AS353" s="36">
        <v>0</v>
      </c>
      <c r="AT353" s="36">
        <v>0</v>
      </c>
      <c r="AU353" s="36">
        <v>0</v>
      </c>
      <c r="AV353" s="36">
        <v>0</v>
      </c>
      <c r="AW353" s="36">
        <v>0</v>
      </c>
      <c r="AX353" s="36">
        <v>0</v>
      </c>
      <c r="AY353" s="36">
        <v>0</v>
      </c>
      <c r="AZ353" s="36">
        <v>0</v>
      </c>
    </row>
    <row r="354" s="24" customFormat="1" ht="21" customHeight="1" spans="1:52">
      <c r="A354" s="42"/>
      <c r="B354" s="43"/>
      <c r="C354" s="42"/>
      <c r="D354" s="37" t="s">
        <v>37</v>
      </c>
      <c r="E354" s="38"/>
      <c r="F354" s="38"/>
      <c r="G354" s="38"/>
      <c r="H354" s="38"/>
      <c r="I354" s="38"/>
      <c r="J354" s="39"/>
      <c r="K354" s="39"/>
      <c r="L354" s="38"/>
      <c r="M354" s="38"/>
      <c r="N354" s="38"/>
      <c r="O354" s="38"/>
      <c r="P354" s="38"/>
      <c r="Q354" s="39"/>
      <c r="R354" s="39"/>
      <c r="S354" s="38"/>
      <c r="T354" s="38"/>
      <c r="U354" s="38"/>
      <c r="V354" s="38"/>
      <c r="W354" s="40"/>
      <c r="X354" s="39"/>
      <c r="Y354" s="39"/>
      <c r="Z354" s="38"/>
      <c r="AA354" s="38"/>
      <c r="AB354" s="38"/>
      <c r="AC354" s="38"/>
      <c r="AD354" s="38"/>
      <c r="AE354" s="39"/>
      <c r="AF354" s="39"/>
      <c r="AG354" s="38"/>
      <c r="AH354" s="38"/>
      <c r="AI354" s="37">
        <v>0</v>
      </c>
      <c r="AJ354" s="43"/>
      <c r="AK354" s="43"/>
      <c r="AL354" s="43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</row>
    <row r="355" s="24" customFormat="1" ht="21" customHeight="1" spans="1:52">
      <c r="A355" s="36">
        <v>176</v>
      </c>
      <c r="B355" s="35" t="s">
        <v>32</v>
      </c>
      <c r="C355" s="36" t="s">
        <v>264</v>
      </c>
      <c r="D355" s="61" t="s">
        <v>34</v>
      </c>
      <c r="E355" s="44"/>
      <c r="F355" s="44"/>
      <c r="G355" s="44"/>
      <c r="H355" s="44"/>
      <c r="I355" s="44"/>
      <c r="J355" s="45"/>
      <c r="K355" s="45"/>
      <c r="L355" s="44" t="s">
        <v>35</v>
      </c>
      <c r="M355" s="44" t="s">
        <v>35</v>
      </c>
      <c r="N355" s="44" t="s">
        <v>35</v>
      </c>
      <c r="O355" s="44" t="s">
        <v>35</v>
      </c>
      <c r="P355" s="44" t="s">
        <v>35</v>
      </c>
      <c r="Q355" s="45" t="s">
        <v>117</v>
      </c>
      <c r="R355" s="45"/>
      <c r="S355" s="44"/>
      <c r="T355" s="44"/>
      <c r="U355" s="44"/>
      <c r="V355" s="44"/>
      <c r="W355" s="46"/>
      <c r="X355" s="45"/>
      <c r="Y355" s="45"/>
      <c r="Z355" s="44"/>
      <c r="AA355" s="44"/>
      <c r="AB355" s="44"/>
      <c r="AC355" s="44"/>
      <c r="AD355" s="44"/>
      <c r="AE355" s="45"/>
      <c r="AF355" s="45"/>
      <c r="AG355" s="44"/>
      <c r="AH355" s="44"/>
      <c r="AI355" s="50">
        <v>5</v>
      </c>
      <c r="AJ355" s="51">
        <f t="shared" si="344"/>
        <v>5</v>
      </c>
      <c r="AK355" s="51">
        <v>0</v>
      </c>
      <c r="AL355" s="52">
        <f t="shared" si="343"/>
        <v>0</v>
      </c>
      <c r="AM355" s="53">
        <f t="shared" si="345"/>
        <v>0</v>
      </c>
      <c r="AN355" s="53">
        <f t="shared" si="346"/>
        <v>0</v>
      </c>
      <c r="AO355" s="53">
        <f>5*8</f>
        <v>40</v>
      </c>
      <c r="AP355" s="54">
        <f t="shared" si="347"/>
        <v>40</v>
      </c>
      <c r="AQ355" s="54">
        <v>0</v>
      </c>
      <c r="AR355" s="36">
        <v>0</v>
      </c>
      <c r="AS355" s="53">
        <v>0</v>
      </c>
      <c r="AT355" s="53">
        <v>0</v>
      </c>
      <c r="AU355" s="53">
        <v>0</v>
      </c>
      <c r="AV355" s="53">
        <v>0</v>
      </c>
      <c r="AW355" s="53">
        <v>0</v>
      </c>
      <c r="AX355" s="53">
        <v>0</v>
      </c>
      <c r="AY355" s="53">
        <v>0</v>
      </c>
      <c r="AZ355" s="53">
        <v>0</v>
      </c>
    </row>
    <row r="356" s="24" customFormat="1" ht="21" customHeight="1" spans="1:52">
      <c r="A356" s="42"/>
      <c r="B356" s="43"/>
      <c r="C356" s="42"/>
      <c r="D356" s="61" t="s">
        <v>37</v>
      </c>
      <c r="E356" s="44"/>
      <c r="F356" s="44"/>
      <c r="G356" s="44"/>
      <c r="H356" s="44"/>
      <c r="I356" s="44"/>
      <c r="J356" s="45"/>
      <c r="K356" s="45"/>
      <c r="L356" s="44"/>
      <c r="M356" s="44"/>
      <c r="N356" s="44"/>
      <c r="O356" s="44"/>
      <c r="P356" s="44"/>
      <c r="Q356" s="45"/>
      <c r="R356" s="45"/>
      <c r="S356" s="44"/>
      <c r="T356" s="44"/>
      <c r="U356" s="44"/>
      <c r="V356" s="44"/>
      <c r="W356" s="46"/>
      <c r="X356" s="45"/>
      <c r="Y356" s="45"/>
      <c r="Z356" s="44"/>
      <c r="AA356" s="44"/>
      <c r="AB356" s="44"/>
      <c r="AC356" s="44"/>
      <c r="AD356" s="44"/>
      <c r="AE356" s="45"/>
      <c r="AF356" s="45"/>
      <c r="AG356" s="44"/>
      <c r="AH356" s="44"/>
      <c r="AI356" s="50">
        <v>0</v>
      </c>
      <c r="AJ356" s="56"/>
      <c r="AK356" s="56"/>
      <c r="AL356" s="57"/>
      <c r="AM356" s="58"/>
      <c r="AN356" s="58"/>
      <c r="AO356" s="58"/>
      <c r="AP356" s="59"/>
      <c r="AQ356" s="59"/>
      <c r="AR356" s="42"/>
      <c r="AS356" s="58"/>
      <c r="AT356" s="58"/>
      <c r="AU356" s="58"/>
      <c r="AV356" s="58"/>
      <c r="AW356" s="58"/>
      <c r="AX356" s="58"/>
      <c r="AY356" s="58"/>
      <c r="AZ356" s="58"/>
    </row>
    <row r="357" s="24" customFormat="1" ht="21" customHeight="1" spans="1:52">
      <c r="A357" s="36">
        <v>177</v>
      </c>
      <c r="B357" s="35" t="s">
        <v>32</v>
      </c>
      <c r="C357" s="36" t="s">
        <v>265</v>
      </c>
      <c r="D357" s="61" t="s">
        <v>34</v>
      </c>
      <c r="E357" s="38"/>
      <c r="F357" s="38"/>
      <c r="G357" s="38"/>
      <c r="H357" s="38"/>
      <c r="I357" s="38"/>
      <c r="J357" s="39"/>
      <c r="K357" s="39"/>
      <c r="L357" s="38"/>
      <c r="M357" s="38"/>
      <c r="N357" s="38"/>
      <c r="O357" s="38"/>
      <c r="P357" s="44" t="s">
        <v>35</v>
      </c>
      <c r="Q357" s="39" t="s">
        <v>36</v>
      </c>
      <c r="R357" s="39" t="s">
        <v>36</v>
      </c>
      <c r="S357" s="44" t="s">
        <v>35</v>
      </c>
      <c r="T357" s="44" t="s">
        <v>35</v>
      </c>
      <c r="U357" s="44" t="s">
        <v>35</v>
      </c>
      <c r="V357" s="44" t="s">
        <v>35</v>
      </c>
      <c r="W357" s="40" t="s">
        <v>36</v>
      </c>
      <c r="X357" s="39" t="s">
        <v>36</v>
      </c>
      <c r="Y357" s="39" t="s">
        <v>36</v>
      </c>
      <c r="Z357" s="44" t="s">
        <v>35</v>
      </c>
      <c r="AA357" s="44" t="s">
        <v>35</v>
      </c>
      <c r="AB357" s="44" t="s">
        <v>35</v>
      </c>
      <c r="AC357" s="44" t="s">
        <v>35</v>
      </c>
      <c r="AD357" s="44" t="s">
        <v>35</v>
      </c>
      <c r="AE357" s="39" t="s">
        <v>36</v>
      </c>
      <c r="AF357" s="39" t="s">
        <v>36</v>
      </c>
      <c r="AG357" s="44" t="s">
        <v>35</v>
      </c>
      <c r="AH357" s="44" t="s">
        <v>35</v>
      </c>
      <c r="AI357" s="61">
        <v>12</v>
      </c>
      <c r="AJ357" s="62">
        <f t="shared" si="344"/>
        <v>13</v>
      </c>
      <c r="AK357" s="35">
        <v>0</v>
      </c>
      <c r="AL357" s="35">
        <f t="shared" ref="AL357:AL361" si="348">E358+F358+G358+H358+I358+L358+M358+N358+O358+P358+S358+T358+U358+V358+Z358+AA358+AB358+AC358+AD358+AG358+AH358</f>
        <v>3</v>
      </c>
      <c r="AM357" s="36">
        <f t="shared" si="345"/>
        <v>0</v>
      </c>
      <c r="AN357" s="36">
        <f t="shared" si="346"/>
        <v>0</v>
      </c>
      <c r="AO357" s="36">
        <f>12*8</f>
        <v>96</v>
      </c>
      <c r="AP357" s="63">
        <f t="shared" si="347"/>
        <v>99</v>
      </c>
      <c r="AQ357" s="63">
        <v>0</v>
      </c>
      <c r="AR357" s="36">
        <v>0</v>
      </c>
      <c r="AS357" s="36">
        <v>0</v>
      </c>
      <c r="AT357" s="36">
        <v>0</v>
      </c>
      <c r="AU357" s="36">
        <v>0</v>
      </c>
      <c r="AV357" s="36">
        <v>0</v>
      </c>
      <c r="AW357" s="36">
        <v>0</v>
      </c>
      <c r="AX357" s="36">
        <v>0</v>
      </c>
      <c r="AY357" s="36">
        <v>0</v>
      </c>
      <c r="AZ357" s="36">
        <v>0</v>
      </c>
    </row>
    <row r="358" s="24" customFormat="1" ht="21" customHeight="1" spans="1:52">
      <c r="A358" s="42"/>
      <c r="B358" s="43"/>
      <c r="C358" s="42"/>
      <c r="D358" s="61" t="s">
        <v>37</v>
      </c>
      <c r="E358" s="38"/>
      <c r="F358" s="38"/>
      <c r="G358" s="38"/>
      <c r="H358" s="38"/>
      <c r="I358" s="38"/>
      <c r="J358" s="39"/>
      <c r="K358" s="39"/>
      <c r="L358" s="38"/>
      <c r="M358" s="38"/>
      <c r="N358" s="38"/>
      <c r="O358" s="38"/>
      <c r="P358" s="38"/>
      <c r="Q358" s="39"/>
      <c r="R358" s="39"/>
      <c r="S358" s="38"/>
      <c r="T358" s="38"/>
      <c r="U358" s="38"/>
      <c r="V358" s="38"/>
      <c r="W358" s="40"/>
      <c r="X358" s="39"/>
      <c r="Y358" s="39"/>
      <c r="Z358" s="38"/>
      <c r="AA358" s="38"/>
      <c r="AB358" s="38"/>
      <c r="AC358" s="38"/>
      <c r="AD358" s="38"/>
      <c r="AE358" s="39"/>
      <c r="AF358" s="39"/>
      <c r="AG358" s="38"/>
      <c r="AH358" s="38">
        <v>3</v>
      </c>
      <c r="AI358" s="61">
        <v>1</v>
      </c>
      <c r="AJ358" s="64"/>
      <c r="AK358" s="43"/>
      <c r="AL358" s="43"/>
      <c r="AM358" s="42"/>
      <c r="AN358" s="42"/>
      <c r="AO358" s="42"/>
      <c r="AP358" s="65"/>
      <c r="AQ358" s="65"/>
      <c r="AR358" s="42"/>
      <c r="AS358" s="42"/>
      <c r="AT358" s="42"/>
      <c r="AU358" s="42"/>
      <c r="AV358" s="42"/>
      <c r="AW358" s="42"/>
      <c r="AX358" s="42"/>
      <c r="AY358" s="42"/>
      <c r="AZ358" s="42"/>
    </row>
    <row r="359" s="24" customFormat="1" ht="21" customHeight="1" spans="1:52">
      <c r="A359" s="36">
        <v>178</v>
      </c>
      <c r="B359" s="35" t="s">
        <v>32</v>
      </c>
      <c r="C359" s="36" t="s">
        <v>266</v>
      </c>
      <c r="D359" s="61" t="s">
        <v>34</v>
      </c>
      <c r="E359" s="38"/>
      <c r="F359" s="38"/>
      <c r="G359" s="38"/>
      <c r="H359" s="38"/>
      <c r="I359" s="38"/>
      <c r="J359" s="39"/>
      <c r="K359" s="39"/>
      <c r="L359" s="38"/>
      <c r="M359" s="38"/>
      <c r="N359" s="38"/>
      <c r="O359" s="38"/>
      <c r="P359" s="38"/>
      <c r="Q359" s="39"/>
      <c r="R359" s="39"/>
      <c r="S359" s="44" t="s">
        <v>35</v>
      </c>
      <c r="T359" s="44" t="s">
        <v>35</v>
      </c>
      <c r="U359" s="44" t="s">
        <v>35</v>
      </c>
      <c r="V359" s="44" t="s">
        <v>35</v>
      </c>
      <c r="W359" s="40"/>
      <c r="X359" s="39"/>
      <c r="Y359" s="39" t="s">
        <v>36</v>
      </c>
      <c r="Z359" s="44" t="s">
        <v>35</v>
      </c>
      <c r="AA359" s="44" t="s">
        <v>35</v>
      </c>
      <c r="AB359" s="44" t="s">
        <v>35</v>
      </c>
      <c r="AC359" s="44" t="s">
        <v>35</v>
      </c>
      <c r="AD359" s="44" t="s">
        <v>35</v>
      </c>
      <c r="AE359" s="39" t="s">
        <v>36</v>
      </c>
      <c r="AF359" s="39"/>
      <c r="AG359" s="44" t="s">
        <v>35</v>
      </c>
      <c r="AH359" s="44" t="s">
        <v>35</v>
      </c>
      <c r="AI359" s="61">
        <v>11</v>
      </c>
      <c r="AJ359" s="62">
        <f t="shared" ref="AJ359:AJ363" si="349">AI359+AI360</f>
        <v>25</v>
      </c>
      <c r="AK359" s="35">
        <v>0</v>
      </c>
      <c r="AL359" s="35">
        <f t="shared" si="348"/>
        <v>23.5</v>
      </c>
      <c r="AM359" s="36">
        <f t="shared" ref="AM359:AM363" si="350">J360+K360+Q360+R360+X360+Y360+AE360+AF360</f>
        <v>20.5</v>
      </c>
      <c r="AN359" s="36">
        <f t="shared" ref="AN359:AN363" si="351">W360</f>
        <v>8</v>
      </c>
      <c r="AO359" s="36">
        <f t="shared" ref="AO359:AO363" si="352">11*8</f>
        <v>88</v>
      </c>
      <c r="AP359" s="63">
        <f t="shared" ref="AP359:AP363" si="353">AL359+AM359+AN359+AO359-AQ359-AS359-AT359-AV359-AW359-AX359-AY359-AZ359-AU359</f>
        <v>140</v>
      </c>
      <c r="AQ359" s="63">
        <v>0</v>
      </c>
      <c r="AR359" s="36">
        <v>0</v>
      </c>
      <c r="AS359" s="36">
        <v>0</v>
      </c>
      <c r="AT359" s="36">
        <v>0</v>
      </c>
      <c r="AU359" s="36">
        <v>0</v>
      </c>
      <c r="AV359" s="36">
        <v>0</v>
      </c>
      <c r="AW359" s="36">
        <v>0</v>
      </c>
      <c r="AX359" s="36">
        <v>0</v>
      </c>
      <c r="AY359" s="36">
        <v>0</v>
      </c>
      <c r="AZ359" s="36">
        <v>0</v>
      </c>
    </row>
    <row r="360" s="24" customFormat="1" ht="21" customHeight="1" spans="1:52">
      <c r="A360" s="42"/>
      <c r="B360" s="43"/>
      <c r="C360" s="42"/>
      <c r="D360" s="61" t="s">
        <v>37</v>
      </c>
      <c r="E360" s="38"/>
      <c r="F360" s="38"/>
      <c r="G360" s="38"/>
      <c r="H360" s="38"/>
      <c r="I360" s="38"/>
      <c r="J360" s="39"/>
      <c r="K360" s="39"/>
      <c r="L360" s="38"/>
      <c r="M360" s="38"/>
      <c r="N360" s="38"/>
      <c r="O360" s="38"/>
      <c r="P360" s="38"/>
      <c r="Q360" s="39"/>
      <c r="R360" s="39"/>
      <c r="S360" s="38">
        <v>3</v>
      </c>
      <c r="T360" s="38">
        <v>3</v>
      </c>
      <c r="U360" s="38">
        <v>3</v>
      </c>
      <c r="V360" s="38">
        <v>3</v>
      </c>
      <c r="W360" s="40">
        <v>8</v>
      </c>
      <c r="X360" s="39">
        <v>11</v>
      </c>
      <c r="Y360" s="39"/>
      <c r="Z360" s="44">
        <v>1.5</v>
      </c>
      <c r="AA360" s="38"/>
      <c r="AB360" s="38">
        <v>2</v>
      </c>
      <c r="AC360" s="38">
        <v>2.5</v>
      </c>
      <c r="AD360" s="38"/>
      <c r="AE360" s="39"/>
      <c r="AF360" s="39">
        <v>9.5</v>
      </c>
      <c r="AG360" s="38">
        <v>2.5</v>
      </c>
      <c r="AH360" s="38">
        <v>3</v>
      </c>
      <c r="AI360" s="61">
        <v>14</v>
      </c>
      <c r="AJ360" s="64"/>
      <c r="AK360" s="43"/>
      <c r="AL360" s="43"/>
      <c r="AM360" s="42"/>
      <c r="AN360" s="42"/>
      <c r="AO360" s="42"/>
      <c r="AP360" s="65"/>
      <c r="AQ360" s="65"/>
      <c r="AR360" s="42"/>
      <c r="AS360" s="42"/>
      <c r="AT360" s="42"/>
      <c r="AU360" s="42"/>
      <c r="AV360" s="42"/>
      <c r="AW360" s="42"/>
      <c r="AX360" s="42"/>
      <c r="AY360" s="42"/>
      <c r="AZ360" s="42"/>
    </row>
    <row r="361" s="24" customFormat="1" ht="21" customHeight="1" spans="1:52">
      <c r="A361" s="36">
        <v>179</v>
      </c>
      <c r="B361" s="35" t="s">
        <v>267</v>
      </c>
      <c r="C361" s="36" t="s">
        <v>268</v>
      </c>
      <c r="D361" s="61" t="s">
        <v>34</v>
      </c>
      <c r="E361" s="44"/>
      <c r="F361" s="44"/>
      <c r="G361" s="44"/>
      <c r="H361" s="44"/>
      <c r="I361" s="44"/>
      <c r="J361" s="45"/>
      <c r="K361" s="45"/>
      <c r="L361" s="44"/>
      <c r="M361" s="44"/>
      <c r="N361" s="44"/>
      <c r="O361" s="44"/>
      <c r="P361" s="44"/>
      <c r="Q361" s="45"/>
      <c r="R361" s="45"/>
      <c r="S361" s="44" t="s">
        <v>35</v>
      </c>
      <c r="T361" s="44" t="s">
        <v>35</v>
      </c>
      <c r="U361" s="44" t="s">
        <v>35</v>
      </c>
      <c r="V361" s="44" t="s">
        <v>35</v>
      </c>
      <c r="W361" s="46" t="s">
        <v>36</v>
      </c>
      <c r="X361" s="45"/>
      <c r="Y361" s="45"/>
      <c r="Z361" s="44" t="s">
        <v>269</v>
      </c>
      <c r="AA361" s="44" t="s">
        <v>35</v>
      </c>
      <c r="AB361" s="44" t="s">
        <v>35</v>
      </c>
      <c r="AC361" s="44" t="s">
        <v>270</v>
      </c>
      <c r="AD361" s="44" t="s">
        <v>35</v>
      </c>
      <c r="AE361" s="45" t="s">
        <v>36</v>
      </c>
      <c r="AF361" s="45"/>
      <c r="AG361" s="44" t="s">
        <v>35</v>
      </c>
      <c r="AH361" s="44" t="s">
        <v>35</v>
      </c>
      <c r="AI361" s="50">
        <v>10</v>
      </c>
      <c r="AJ361" s="51">
        <f t="shared" si="349"/>
        <v>24</v>
      </c>
      <c r="AK361" s="51">
        <v>0</v>
      </c>
      <c r="AL361" s="52">
        <f t="shared" si="348"/>
        <v>21</v>
      </c>
      <c r="AM361" s="53">
        <f t="shared" si="350"/>
        <v>28.5</v>
      </c>
      <c r="AN361" s="53">
        <f t="shared" si="351"/>
        <v>0</v>
      </c>
      <c r="AO361" s="53">
        <f t="shared" si="352"/>
        <v>88</v>
      </c>
      <c r="AP361" s="54">
        <f t="shared" si="353"/>
        <v>131.5</v>
      </c>
      <c r="AQ361" s="54">
        <v>0</v>
      </c>
      <c r="AR361" s="55">
        <v>0</v>
      </c>
      <c r="AS361" s="53">
        <v>0</v>
      </c>
      <c r="AT361" s="53">
        <v>6</v>
      </c>
      <c r="AU361" s="53">
        <v>0</v>
      </c>
      <c r="AV361" s="53">
        <v>0</v>
      </c>
      <c r="AW361" s="53">
        <v>0</v>
      </c>
      <c r="AX361" s="53">
        <v>0</v>
      </c>
      <c r="AY361" s="53">
        <v>0</v>
      </c>
      <c r="AZ361" s="53">
        <v>0</v>
      </c>
    </row>
    <row r="362" s="24" customFormat="1" ht="21" customHeight="1" spans="1:52">
      <c r="A362" s="42"/>
      <c r="B362" s="43"/>
      <c r="C362" s="42"/>
      <c r="D362" s="61" t="s">
        <v>37</v>
      </c>
      <c r="E362" s="44"/>
      <c r="F362" s="44"/>
      <c r="G362" s="44"/>
      <c r="H362" s="44"/>
      <c r="I362" s="44"/>
      <c r="J362" s="45"/>
      <c r="K362" s="45"/>
      <c r="L362" s="44"/>
      <c r="M362" s="44"/>
      <c r="N362" s="44"/>
      <c r="O362" s="44"/>
      <c r="P362" s="44"/>
      <c r="Q362" s="45"/>
      <c r="R362" s="45"/>
      <c r="S362" s="44"/>
      <c r="T362" s="44">
        <v>2.5</v>
      </c>
      <c r="U362" s="44">
        <v>2</v>
      </c>
      <c r="V362" s="44">
        <v>2</v>
      </c>
      <c r="W362" s="46"/>
      <c r="X362" s="45">
        <v>10</v>
      </c>
      <c r="Y362" s="45">
        <v>9</v>
      </c>
      <c r="Z362" s="44">
        <v>2.5</v>
      </c>
      <c r="AA362" s="44">
        <v>2</v>
      </c>
      <c r="AB362" s="44">
        <v>2</v>
      </c>
      <c r="AC362" s="44"/>
      <c r="AD362" s="44">
        <v>3.5</v>
      </c>
      <c r="AE362" s="45"/>
      <c r="AF362" s="45">
        <v>9.5</v>
      </c>
      <c r="AG362" s="44">
        <v>2</v>
      </c>
      <c r="AH362" s="44">
        <v>2.5</v>
      </c>
      <c r="AI362" s="50">
        <v>14</v>
      </c>
      <c r="AJ362" s="56"/>
      <c r="AK362" s="56"/>
      <c r="AL362" s="57"/>
      <c r="AM362" s="58"/>
      <c r="AN362" s="58"/>
      <c r="AO362" s="58"/>
      <c r="AP362" s="59"/>
      <c r="AQ362" s="59"/>
      <c r="AR362" s="60"/>
      <c r="AS362" s="58"/>
      <c r="AT362" s="58"/>
      <c r="AU362" s="58"/>
      <c r="AV362" s="58"/>
      <c r="AW362" s="58"/>
      <c r="AX362" s="58"/>
      <c r="AY362" s="58"/>
      <c r="AZ362" s="58"/>
    </row>
    <row r="363" s="24" customFormat="1" ht="21" customHeight="1" spans="1:52">
      <c r="A363" s="36">
        <v>180</v>
      </c>
      <c r="B363" s="35" t="s">
        <v>32</v>
      </c>
      <c r="C363" s="36" t="s">
        <v>271</v>
      </c>
      <c r="D363" s="61" t="s">
        <v>34</v>
      </c>
      <c r="E363" s="38"/>
      <c r="F363" s="38"/>
      <c r="G363" s="38"/>
      <c r="H363" s="38"/>
      <c r="I363" s="38"/>
      <c r="J363" s="39"/>
      <c r="K363" s="39"/>
      <c r="L363" s="38"/>
      <c r="M363" s="38"/>
      <c r="N363" s="38"/>
      <c r="O363" s="38"/>
      <c r="P363" s="38"/>
      <c r="Q363" s="39"/>
      <c r="R363" s="39"/>
      <c r="S363" s="44" t="s">
        <v>35</v>
      </c>
      <c r="T363" s="44" t="s">
        <v>35</v>
      </c>
      <c r="U363" s="44" t="s">
        <v>35</v>
      </c>
      <c r="V363" s="44" t="s">
        <v>35</v>
      </c>
      <c r="W363" s="40" t="s">
        <v>36</v>
      </c>
      <c r="X363" s="39" t="s">
        <v>36</v>
      </c>
      <c r="Y363" s="39" t="s">
        <v>36</v>
      </c>
      <c r="Z363" s="44" t="s">
        <v>35</v>
      </c>
      <c r="AA363" s="44" t="s">
        <v>35</v>
      </c>
      <c r="AB363" s="44" t="s">
        <v>35</v>
      </c>
      <c r="AC363" s="44" t="s">
        <v>35</v>
      </c>
      <c r="AD363" s="44" t="s">
        <v>35</v>
      </c>
      <c r="AE363" s="39" t="s">
        <v>36</v>
      </c>
      <c r="AF363" s="39" t="s">
        <v>36</v>
      </c>
      <c r="AG363" s="44" t="s">
        <v>35</v>
      </c>
      <c r="AH363" s="44" t="s">
        <v>35</v>
      </c>
      <c r="AI363" s="61">
        <v>11</v>
      </c>
      <c r="AJ363" s="62">
        <f t="shared" si="349"/>
        <v>19</v>
      </c>
      <c r="AK363" s="35">
        <v>0</v>
      </c>
      <c r="AL363" s="35">
        <f t="shared" ref="AL363:AL367" si="354">E364+F364+G364+H364+I364+L364+M364+N364+O364+P364+S364+T364+U364+V364+Z364+AA364+AB364+AC364+AD364+AG364+AH364</f>
        <v>27.5</v>
      </c>
      <c r="AM363" s="36">
        <f t="shared" si="350"/>
        <v>0</v>
      </c>
      <c r="AN363" s="36">
        <f t="shared" si="351"/>
        <v>0</v>
      </c>
      <c r="AO363" s="36">
        <f t="shared" si="352"/>
        <v>88</v>
      </c>
      <c r="AP363" s="63">
        <f t="shared" si="353"/>
        <v>115.5</v>
      </c>
      <c r="AQ363" s="63">
        <v>0</v>
      </c>
      <c r="AR363" s="36">
        <v>0</v>
      </c>
      <c r="AS363" s="36">
        <v>0</v>
      </c>
      <c r="AT363" s="36">
        <v>0</v>
      </c>
      <c r="AU363" s="36">
        <v>0</v>
      </c>
      <c r="AV363" s="36">
        <v>0</v>
      </c>
      <c r="AW363" s="36">
        <v>0</v>
      </c>
      <c r="AX363" s="36">
        <v>0</v>
      </c>
      <c r="AY363" s="36">
        <v>0</v>
      </c>
      <c r="AZ363" s="36">
        <v>0</v>
      </c>
    </row>
    <row r="364" s="24" customFormat="1" ht="21" customHeight="1" spans="1:52">
      <c r="A364" s="42"/>
      <c r="B364" s="43"/>
      <c r="C364" s="42"/>
      <c r="D364" s="61" t="s">
        <v>37</v>
      </c>
      <c r="E364" s="38"/>
      <c r="F364" s="38"/>
      <c r="G364" s="38"/>
      <c r="H364" s="38"/>
      <c r="I364" s="38"/>
      <c r="J364" s="39"/>
      <c r="K364" s="39"/>
      <c r="L364" s="38"/>
      <c r="M364" s="38"/>
      <c r="N364" s="38"/>
      <c r="O364" s="38"/>
      <c r="P364" s="38"/>
      <c r="Q364" s="39"/>
      <c r="R364" s="39"/>
      <c r="S364" s="44">
        <v>1.5</v>
      </c>
      <c r="T364" s="38">
        <v>1.5</v>
      </c>
      <c r="U364" s="38">
        <v>4.5</v>
      </c>
      <c r="V364" s="38">
        <v>3</v>
      </c>
      <c r="W364" s="40"/>
      <c r="X364" s="39"/>
      <c r="Y364" s="39"/>
      <c r="Z364" s="38">
        <v>4</v>
      </c>
      <c r="AA364" s="44">
        <v>1.5</v>
      </c>
      <c r="AB364" s="38">
        <v>4.5</v>
      </c>
      <c r="AC364" s="38"/>
      <c r="AD364" s="38">
        <v>4</v>
      </c>
      <c r="AE364" s="39"/>
      <c r="AF364" s="39"/>
      <c r="AG364" s="38"/>
      <c r="AH364" s="38">
        <v>3</v>
      </c>
      <c r="AI364" s="61">
        <v>8</v>
      </c>
      <c r="AJ364" s="64"/>
      <c r="AK364" s="43"/>
      <c r="AL364" s="43"/>
      <c r="AM364" s="42"/>
      <c r="AN364" s="42"/>
      <c r="AO364" s="42"/>
      <c r="AP364" s="65"/>
      <c r="AQ364" s="65"/>
      <c r="AR364" s="42"/>
      <c r="AS364" s="42"/>
      <c r="AT364" s="42"/>
      <c r="AU364" s="42"/>
      <c r="AV364" s="42"/>
      <c r="AW364" s="42"/>
      <c r="AX364" s="42"/>
      <c r="AY364" s="42"/>
      <c r="AZ364" s="42"/>
    </row>
    <row r="365" s="24" customFormat="1" ht="21" customHeight="1" spans="1:52">
      <c r="A365" s="36">
        <v>181</v>
      </c>
      <c r="B365" s="35" t="s">
        <v>32</v>
      </c>
      <c r="C365" s="36" t="s">
        <v>272</v>
      </c>
      <c r="D365" s="61" t="s">
        <v>34</v>
      </c>
      <c r="E365" s="38"/>
      <c r="F365" s="38"/>
      <c r="G365" s="38"/>
      <c r="H365" s="38"/>
      <c r="I365" s="38"/>
      <c r="J365" s="39"/>
      <c r="K365" s="39"/>
      <c r="L365" s="38"/>
      <c r="M365" s="38"/>
      <c r="N365" s="38"/>
      <c r="O365" s="38"/>
      <c r="P365" s="38"/>
      <c r="Q365" s="39"/>
      <c r="R365" s="39"/>
      <c r="S365" s="38"/>
      <c r="T365" s="44" t="s">
        <v>35</v>
      </c>
      <c r="U365" s="44" t="s">
        <v>35</v>
      </c>
      <c r="V365" s="44" t="s">
        <v>39</v>
      </c>
      <c r="W365" s="40" t="s">
        <v>36</v>
      </c>
      <c r="X365" s="39" t="s">
        <v>36</v>
      </c>
      <c r="Y365" s="39" t="s">
        <v>36</v>
      </c>
      <c r="Z365" s="44" t="s">
        <v>269</v>
      </c>
      <c r="AA365" s="44" t="s">
        <v>35</v>
      </c>
      <c r="AB365" s="44" t="s">
        <v>35</v>
      </c>
      <c r="AC365" s="44" t="s">
        <v>35</v>
      </c>
      <c r="AD365" s="44" t="s">
        <v>35</v>
      </c>
      <c r="AE365" s="39" t="s">
        <v>36</v>
      </c>
      <c r="AF365" s="39" t="s">
        <v>36</v>
      </c>
      <c r="AG365" s="44" t="s">
        <v>35</v>
      </c>
      <c r="AH365" s="44" t="s">
        <v>35</v>
      </c>
      <c r="AI365" s="61">
        <v>9</v>
      </c>
      <c r="AJ365" s="62">
        <f t="shared" ref="AJ365:AJ369" si="355">AI365+AI366</f>
        <v>9</v>
      </c>
      <c r="AK365" s="35">
        <v>1</v>
      </c>
      <c r="AL365" s="35">
        <f t="shared" si="354"/>
        <v>1.5</v>
      </c>
      <c r="AM365" s="36">
        <f t="shared" ref="AM365:AM369" si="356">J366+K366+Q366+R366+X366+Y366+AE366+AF366</f>
        <v>0</v>
      </c>
      <c r="AN365" s="36">
        <f t="shared" ref="AN365:AN369" si="357">W366</f>
        <v>0</v>
      </c>
      <c r="AO365" s="36">
        <f>10*8</f>
        <v>80</v>
      </c>
      <c r="AP365" s="63">
        <f t="shared" ref="AP365:AP369" si="358">AL365+AM365+AN365+AO365-AQ365-AS365-AT365-AV365-AW365-AX365-AY365-AZ365-AU365</f>
        <v>80.5</v>
      </c>
      <c r="AQ365" s="63">
        <v>0</v>
      </c>
      <c r="AR365" s="36">
        <v>0</v>
      </c>
      <c r="AS365" s="36">
        <v>0</v>
      </c>
      <c r="AT365" s="36">
        <v>1</v>
      </c>
      <c r="AU365" s="36">
        <v>0</v>
      </c>
      <c r="AV365" s="36">
        <v>0</v>
      </c>
      <c r="AW365" s="36">
        <v>0</v>
      </c>
      <c r="AX365" s="36">
        <v>0</v>
      </c>
      <c r="AY365" s="36">
        <v>0</v>
      </c>
      <c r="AZ365" s="36">
        <v>0</v>
      </c>
    </row>
    <row r="366" s="24" customFormat="1" ht="21" customHeight="1" spans="1:52">
      <c r="A366" s="42"/>
      <c r="B366" s="43"/>
      <c r="C366" s="42"/>
      <c r="D366" s="61" t="s">
        <v>37</v>
      </c>
      <c r="E366" s="38"/>
      <c r="F366" s="38"/>
      <c r="G366" s="38"/>
      <c r="H366" s="38"/>
      <c r="I366" s="38"/>
      <c r="J366" s="39"/>
      <c r="K366" s="39"/>
      <c r="L366" s="38"/>
      <c r="M366" s="38"/>
      <c r="N366" s="38"/>
      <c r="O366" s="38"/>
      <c r="P366" s="38"/>
      <c r="Q366" s="39"/>
      <c r="R366" s="39"/>
      <c r="S366" s="38"/>
      <c r="T366" s="38"/>
      <c r="U366" s="38">
        <v>1.5</v>
      </c>
      <c r="V366" s="38"/>
      <c r="W366" s="40"/>
      <c r="X366" s="39"/>
      <c r="Y366" s="39"/>
      <c r="Z366" s="38"/>
      <c r="AA366" s="38"/>
      <c r="AB366" s="38"/>
      <c r="AC366" s="38"/>
      <c r="AD366" s="38"/>
      <c r="AE366" s="39"/>
      <c r="AF366" s="39"/>
      <c r="AG366" s="38"/>
      <c r="AH366" s="38"/>
      <c r="AI366" s="61">
        <v>0</v>
      </c>
      <c r="AJ366" s="64"/>
      <c r="AK366" s="43"/>
      <c r="AL366" s="43"/>
      <c r="AM366" s="42"/>
      <c r="AN366" s="42"/>
      <c r="AO366" s="42"/>
      <c r="AP366" s="65"/>
      <c r="AQ366" s="65"/>
      <c r="AR366" s="42"/>
      <c r="AS366" s="42"/>
      <c r="AT366" s="42"/>
      <c r="AU366" s="42"/>
      <c r="AV366" s="42"/>
      <c r="AW366" s="42"/>
      <c r="AX366" s="42"/>
      <c r="AY366" s="42"/>
      <c r="AZ366" s="42"/>
    </row>
    <row r="367" s="24" customFormat="1" ht="21" customHeight="1" spans="1:52">
      <c r="A367" s="36">
        <v>182</v>
      </c>
      <c r="B367" s="35" t="s">
        <v>32</v>
      </c>
      <c r="C367" s="36" t="s">
        <v>273</v>
      </c>
      <c r="D367" s="61" t="s">
        <v>34</v>
      </c>
      <c r="E367" s="38"/>
      <c r="F367" s="38"/>
      <c r="G367" s="38"/>
      <c r="H367" s="38"/>
      <c r="I367" s="38"/>
      <c r="J367" s="39"/>
      <c r="K367" s="39"/>
      <c r="L367" s="38"/>
      <c r="M367" s="38"/>
      <c r="N367" s="38"/>
      <c r="O367" s="38"/>
      <c r="P367" s="38"/>
      <c r="Q367" s="39"/>
      <c r="R367" s="39"/>
      <c r="S367" s="38"/>
      <c r="T367" s="38"/>
      <c r="U367" s="44" t="s">
        <v>35</v>
      </c>
      <c r="V367" s="44" t="s">
        <v>35</v>
      </c>
      <c r="W367" s="40" t="s">
        <v>36</v>
      </c>
      <c r="X367" s="39" t="s">
        <v>36</v>
      </c>
      <c r="Y367" s="39" t="s">
        <v>36</v>
      </c>
      <c r="Z367" s="44" t="s">
        <v>35</v>
      </c>
      <c r="AA367" s="44" t="s">
        <v>35</v>
      </c>
      <c r="AB367" s="44" t="s">
        <v>35</v>
      </c>
      <c r="AC367" s="44" t="s">
        <v>35</v>
      </c>
      <c r="AD367" s="44" t="s">
        <v>35</v>
      </c>
      <c r="AE367" s="39" t="s">
        <v>36</v>
      </c>
      <c r="AF367" s="39"/>
      <c r="AG367" s="44" t="s">
        <v>35</v>
      </c>
      <c r="AH367" s="44" t="s">
        <v>35</v>
      </c>
      <c r="AI367" s="61">
        <v>9</v>
      </c>
      <c r="AJ367" s="62">
        <f t="shared" si="355"/>
        <v>13</v>
      </c>
      <c r="AK367" s="35">
        <v>0</v>
      </c>
      <c r="AL367" s="35">
        <f t="shared" si="354"/>
        <v>9</v>
      </c>
      <c r="AM367" s="36">
        <f t="shared" si="356"/>
        <v>4</v>
      </c>
      <c r="AN367" s="36">
        <f t="shared" si="357"/>
        <v>0</v>
      </c>
      <c r="AO367" s="36">
        <f>9*8</f>
        <v>72</v>
      </c>
      <c r="AP367" s="63">
        <f t="shared" si="358"/>
        <v>85</v>
      </c>
      <c r="AQ367" s="63">
        <v>0</v>
      </c>
      <c r="AR367" s="36">
        <v>0</v>
      </c>
      <c r="AS367" s="36">
        <v>0</v>
      </c>
      <c r="AT367" s="36">
        <v>0</v>
      </c>
      <c r="AU367" s="36">
        <v>0</v>
      </c>
      <c r="AV367" s="36">
        <v>0</v>
      </c>
      <c r="AW367" s="36">
        <v>0</v>
      </c>
      <c r="AX367" s="36">
        <v>0</v>
      </c>
      <c r="AY367" s="36">
        <v>0</v>
      </c>
      <c r="AZ367" s="36">
        <v>0</v>
      </c>
    </row>
    <row r="368" s="24" customFormat="1" ht="21" customHeight="1" spans="1:52">
      <c r="A368" s="42"/>
      <c r="B368" s="43"/>
      <c r="C368" s="42"/>
      <c r="D368" s="61" t="s">
        <v>37</v>
      </c>
      <c r="E368" s="38"/>
      <c r="F368" s="38"/>
      <c r="G368" s="38"/>
      <c r="H368" s="38"/>
      <c r="I368" s="38"/>
      <c r="J368" s="39"/>
      <c r="K368" s="39"/>
      <c r="L368" s="38"/>
      <c r="M368" s="38"/>
      <c r="N368" s="38"/>
      <c r="O368" s="38"/>
      <c r="P368" s="38"/>
      <c r="Q368" s="39"/>
      <c r="R368" s="39"/>
      <c r="S368" s="38"/>
      <c r="T368" s="38"/>
      <c r="U368" s="38"/>
      <c r="V368" s="38"/>
      <c r="W368" s="40"/>
      <c r="X368" s="39"/>
      <c r="Y368" s="39"/>
      <c r="Z368" s="38"/>
      <c r="AA368" s="38"/>
      <c r="AB368" s="38">
        <v>2</v>
      </c>
      <c r="AC368" s="38">
        <v>4</v>
      </c>
      <c r="AD368" s="44">
        <v>1.5</v>
      </c>
      <c r="AE368" s="39"/>
      <c r="AF368" s="39">
        <v>4</v>
      </c>
      <c r="AG368" s="38"/>
      <c r="AH368" s="44">
        <v>1.5</v>
      </c>
      <c r="AI368" s="61">
        <v>4</v>
      </c>
      <c r="AJ368" s="64"/>
      <c r="AK368" s="43"/>
      <c r="AL368" s="43"/>
      <c r="AM368" s="42"/>
      <c r="AN368" s="42"/>
      <c r="AO368" s="42"/>
      <c r="AP368" s="65"/>
      <c r="AQ368" s="65"/>
      <c r="AR368" s="42"/>
      <c r="AS368" s="42"/>
      <c r="AT368" s="42"/>
      <c r="AU368" s="42"/>
      <c r="AV368" s="42"/>
      <c r="AW368" s="42"/>
      <c r="AX368" s="42"/>
      <c r="AY368" s="42"/>
      <c r="AZ368" s="42"/>
    </row>
    <row r="369" s="24" customFormat="1" ht="21" customHeight="1" spans="1:52">
      <c r="A369" s="36">
        <v>183</v>
      </c>
      <c r="B369" s="35" t="s">
        <v>32</v>
      </c>
      <c r="C369" s="36" t="s">
        <v>274</v>
      </c>
      <c r="D369" s="61" t="s">
        <v>34</v>
      </c>
      <c r="E369" s="38"/>
      <c r="F369" s="38"/>
      <c r="G369" s="38"/>
      <c r="H369" s="38"/>
      <c r="I369" s="38"/>
      <c r="J369" s="39"/>
      <c r="K369" s="39"/>
      <c r="L369" s="38"/>
      <c r="M369" s="38"/>
      <c r="N369" s="38"/>
      <c r="O369" s="38"/>
      <c r="P369" s="38"/>
      <c r="Q369" s="39"/>
      <c r="R369" s="39"/>
      <c r="S369" s="38"/>
      <c r="T369" s="38"/>
      <c r="U369" s="38"/>
      <c r="V369" s="44" t="s">
        <v>35</v>
      </c>
      <c r="W369" s="40"/>
      <c r="X369" s="39" t="s">
        <v>36</v>
      </c>
      <c r="Y369" s="39" t="s">
        <v>36</v>
      </c>
      <c r="Z369" s="44" t="s">
        <v>35</v>
      </c>
      <c r="AA369" s="44" t="s">
        <v>35</v>
      </c>
      <c r="AB369" s="44" t="s">
        <v>35</v>
      </c>
      <c r="AC369" s="44" t="s">
        <v>35</v>
      </c>
      <c r="AD369" s="44" t="s">
        <v>35</v>
      </c>
      <c r="AE369" s="39" t="s">
        <v>36</v>
      </c>
      <c r="AF369" s="39" t="s">
        <v>36</v>
      </c>
      <c r="AG369" s="44" t="s">
        <v>35</v>
      </c>
      <c r="AH369" s="44" t="s">
        <v>35</v>
      </c>
      <c r="AI369" s="61">
        <v>8</v>
      </c>
      <c r="AJ369" s="62">
        <f t="shared" si="355"/>
        <v>9</v>
      </c>
      <c r="AK369" s="35">
        <v>0</v>
      </c>
      <c r="AL369" s="35">
        <f t="shared" ref="AL369:AL373" si="359">E370+F370+G370+H370+I370+L370+M370+N370+O370+P370+S370+T370+U370+V370+Z370+AA370+AB370+AC370+AD370+AG370+AH370</f>
        <v>0</v>
      </c>
      <c r="AM369" s="36">
        <f t="shared" si="356"/>
        <v>0</v>
      </c>
      <c r="AN369" s="36">
        <f t="shared" si="357"/>
        <v>6</v>
      </c>
      <c r="AO369" s="36">
        <f>8*8</f>
        <v>64</v>
      </c>
      <c r="AP369" s="63">
        <f t="shared" si="358"/>
        <v>70</v>
      </c>
      <c r="AQ369" s="63">
        <v>0</v>
      </c>
      <c r="AR369" s="36">
        <v>0</v>
      </c>
      <c r="AS369" s="36">
        <v>0</v>
      </c>
      <c r="AT369" s="36">
        <v>0</v>
      </c>
      <c r="AU369" s="36">
        <v>0</v>
      </c>
      <c r="AV369" s="36">
        <v>0</v>
      </c>
      <c r="AW369" s="36">
        <v>0</v>
      </c>
      <c r="AX369" s="36">
        <v>0</v>
      </c>
      <c r="AY369" s="36">
        <v>0</v>
      </c>
      <c r="AZ369" s="36">
        <v>0</v>
      </c>
    </row>
    <row r="370" s="24" customFormat="1" ht="21" customHeight="1" spans="1:52">
      <c r="A370" s="42"/>
      <c r="B370" s="43"/>
      <c r="C370" s="42"/>
      <c r="D370" s="61" t="s">
        <v>37</v>
      </c>
      <c r="E370" s="38"/>
      <c r="F370" s="38"/>
      <c r="G370" s="38"/>
      <c r="H370" s="38"/>
      <c r="I370" s="38"/>
      <c r="J370" s="39"/>
      <c r="K370" s="39"/>
      <c r="L370" s="38"/>
      <c r="M370" s="38"/>
      <c r="N370" s="38"/>
      <c r="O370" s="38"/>
      <c r="P370" s="38"/>
      <c r="Q370" s="39"/>
      <c r="R370" s="39"/>
      <c r="S370" s="38"/>
      <c r="T370" s="38"/>
      <c r="U370" s="38"/>
      <c r="V370" s="38"/>
      <c r="W370" s="40">
        <v>6</v>
      </c>
      <c r="X370" s="39"/>
      <c r="Y370" s="39"/>
      <c r="Z370" s="38"/>
      <c r="AA370" s="38"/>
      <c r="AB370" s="38"/>
      <c r="AC370" s="38"/>
      <c r="AD370" s="38"/>
      <c r="AE370" s="39"/>
      <c r="AF370" s="39"/>
      <c r="AG370" s="38"/>
      <c r="AH370" s="38"/>
      <c r="AI370" s="61">
        <v>1</v>
      </c>
      <c r="AJ370" s="64"/>
      <c r="AK370" s="43"/>
      <c r="AL370" s="43"/>
      <c r="AM370" s="42"/>
      <c r="AN370" s="42"/>
      <c r="AO370" s="42"/>
      <c r="AP370" s="65"/>
      <c r="AQ370" s="65"/>
      <c r="AR370" s="42"/>
      <c r="AS370" s="42"/>
      <c r="AT370" s="42"/>
      <c r="AU370" s="42"/>
      <c r="AV370" s="42"/>
      <c r="AW370" s="42"/>
      <c r="AX370" s="42"/>
      <c r="AY370" s="42"/>
      <c r="AZ370" s="42"/>
    </row>
    <row r="371" s="24" customFormat="1" ht="21" customHeight="1" spans="1:52">
      <c r="A371" s="36">
        <v>184</v>
      </c>
      <c r="B371" s="35" t="s">
        <v>32</v>
      </c>
      <c r="C371" s="36" t="s">
        <v>275</v>
      </c>
      <c r="D371" s="61" t="s">
        <v>34</v>
      </c>
      <c r="E371" s="38"/>
      <c r="F371" s="38"/>
      <c r="G371" s="38"/>
      <c r="H371" s="38"/>
      <c r="I371" s="38"/>
      <c r="J371" s="39"/>
      <c r="K371" s="39"/>
      <c r="L371" s="38"/>
      <c r="M371" s="38"/>
      <c r="N371" s="38"/>
      <c r="O371" s="38"/>
      <c r="P371" s="38"/>
      <c r="Q371" s="39"/>
      <c r="R371" s="39"/>
      <c r="S371" s="38"/>
      <c r="T371" s="38"/>
      <c r="U371" s="38"/>
      <c r="V371" s="44" t="s">
        <v>35</v>
      </c>
      <c r="W371" s="40" t="s">
        <v>36</v>
      </c>
      <c r="X371" s="39" t="s">
        <v>36</v>
      </c>
      <c r="Y371" s="39" t="s">
        <v>36</v>
      </c>
      <c r="Z371" s="44" t="s">
        <v>35</v>
      </c>
      <c r="AA371" s="44" t="s">
        <v>35</v>
      </c>
      <c r="AB371" s="44" t="s">
        <v>35</v>
      </c>
      <c r="AC371" s="44" t="s">
        <v>35</v>
      </c>
      <c r="AD371" s="44" t="s">
        <v>35</v>
      </c>
      <c r="AE371" s="39" t="s">
        <v>36</v>
      </c>
      <c r="AF371" s="39" t="s">
        <v>36</v>
      </c>
      <c r="AG371" s="44" t="s">
        <v>35</v>
      </c>
      <c r="AH371" s="44" t="s">
        <v>35</v>
      </c>
      <c r="AI371" s="61">
        <v>8</v>
      </c>
      <c r="AJ371" s="62">
        <f t="shared" ref="AJ371:AJ375" si="360">AI371+AI372</f>
        <v>9</v>
      </c>
      <c r="AK371" s="35">
        <v>0</v>
      </c>
      <c r="AL371" s="35">
        <f t="shared" si="359"/>
        <v>2</v>
      </c>
      <c r="AM371" s="36">
        <f t="shared" ref="AM371:AM375" si="361">J372+K372+Q372+R372+X372+Y372+AE372+AF372</f>
        <v>0</v>
      </c>
      <c r="AN371" s="36">
        <f t="shared" ref="AN371:AN375" si="362">W372</f>
        <v>0</v>
      </c>
      <c r="AO371" s="36">
        <f>8*8</f>
        <v>64</v>
      </c>
      <c r="AP371" s="63">
        <f t="shared" ref="AP371:AP375" si="363">AL371+AM371+AN371+AO371-AQ371-AS371-AT371-AV371-AW371-AX371-AY371-AZ371-AU371</f>
        <v>66</v>
      </c>
      <c r="AQ371" s="63">
        <v>0</v>
      </c>
      <c r="AR371" s="36">
        <v>0</v>
      </c>
      <c r="AS371" s="36">
        <v>0</v>
      </c>
      <c r="AT371" s="36">
        <v>0</v>
      </c>
      <c r="AU371" s="36">
        <v>0</v>
      </c>
      <c r="AV371" s="36">
        <v>0</v>
      </c>
      <c r="AW371" s="36">
        <v>0</v>
      </c>
      <c r="AX371" s="36">
        <v>0</v>
      </c>
      <c r="AY371" s="36">
        <v>0</v>
      </c>
      <c r="AZ371" s="36">
        <v>0</v>
      </c>
    </row>
    <row r="372" s="24" customFormat="1" ht="21" customHeight="1" spans="1:52">
      <c r="A372" s="42"/>
      <c r="B372" s="43"/>
      <c r="C372" s="42"/>
      <c r="D372" s="61" t="s">
        <v>37</v>
      </c>
      <c r="E372" s="38"/>
      <c r="F372" s="38"/>
      <c r="G372" s="38"/>
      <c r="H372" s="38"/>
      <c r="I372" s="38"/>
      <c r="J372" s="39"/>
      <c r="K372" s="39"/>
      <c r="L372" s="38"/>
      <c r="M372" s="38"/>
      <c r="N372" s="38"/>
      <c r="O372" s="38"/>
      <c r="P372" s="38"/>
      <c r="Q372" s="39"/>
      <c r="R372" s="39"/>
      <c r="S372" s="38"/>
      <c r="T372" s="38"/>
      <c r="U372" s="38"/>
      <c r="V372" s="38"/>
      <c r="W372" s="40"/>
      <c r="X372" s="39"/>
      <c r="Y372" s="39"/>
      <c r="Z372" s="38">
        <v>2</v>
      </c>
      <c r="AA372" s="38"/>
      <c r="AB372" s="38"/>
      <c r="AC372" s="38"/>
      <c r="AD372" s="38"/>
      <c r="AE372" s="39"/>
      <c r="AF372" s="39"/>
      <c r="AG372" s="38"/>
      <c r="AH372" s="38"/>
      <c r="AI372" s="61">
        <v>1</v>
      </c>
      <c r="AJ372" s="64"/>
      <c r="AK372" s="43"/>
      <c r="AL372" s="43"/>
      <c r="AM372" s="42"/>
      <c r="AN372" s="42"/>
      <c r="AO372" s="42"/>
      <c r="AP372" s="65"/>
      <c r="AQ372" s="65"/>
      <c r="AR372" s="42"/>
      <c r="AS372" s="42"/>
      <c r="AT372" s="42"/>
      <c r="AU372" s="42"/>
      <c r="AV372" s="42"/>
      <c r="AW372" s="42"/>
      <c r="AX372" s="42"/>
      <c r="AY372" s="42"/>
      <c r="AZ372" s="42"/>
    </row>
    <row r="373" s="24" customFormat="1" ht="21" customHeight="1" spans="1:52">
      <c r="A373" s="36">
        <v>185</v>
      </c>
      <c r="B373" s="35" t="s">
        <v>32</v>
      </c>
      <c r="C373" s="36" t="s">
        <v>276</v>
      </c>
      <c r="D373" s="61" t="s">
        <v>34</v>
      </c>
      <c r="E373" s="38"/>
      <c r="F373" s="38"/>
      <c r="G373" s="38"/>
      <c r="H373" s="38"/>
      <c r="I373" s="38"/>
      <c r="J373" s="39"/>
      <c r="K373" s="39"/>
      <c r="L373" s="38"/>
      <c r="M373" s="38"/>
      <c r="N373" s="38"/>
      <c r="O373" s="38"/>
      <c r="P373" s="38"/>
      <c r="Q373" s="39"/>
      <c r="R373" s="39"/>
      <c r="S373" s="38"/>
      <c r="T373" s="38"/>
      <c r="U373" s="38"/>
      <c r="V373" s="38"/>
      <c r="W373" s="40"/>
      <c r="X373" s="39"/>
      <c r="Y373" s="39"/>
      <c r="Z373" s="44" t="s">
        <v>35</v>
      </c>
      <c r="AA373" s="44" t="s">
        <v>35</v>
      </c>
      <c r="AB373" s="44" t="s">
        <v>35</v>
      </c>
      <c r="AC373" s="44" t="s">
        <v>35</v>
      </c>
      <c r="AD373" s="44" t="s">
        <v>35</v>
      </c>
      <c r="AE373" s="39" t="s">
        <v>36</v>
      </c>
      <c r="AF373" s="39" t="s">
        <v>36</v>
      </c>
      <c r="AG373" s="44" t="s">
        <v>35</v>
      </c>
      <c r="AH373" s="44" t="s">
        <v>35</v>
      </c>
      <c r="AI373" s="61">
        <v>7</v>
      </c>
      <c r="AJ373" s="62">
        <f t="shared" si="360"/>
        <v>9</v>
      </c>
      <c r="AK373" s="35">
        <v>0</v>
      </c>
      <c r="AL373" s="35">
        <f t="shared" si="359"/>
        <v>5</v>
      </c>
      <c r="AM373" s="36">
        <f t="shared" si="361"/>
        <v>0</v>
      </c>
      <c r="AN373" s="36">
        <f t="shared" si="362"/>
        <v>0</v>
      </c>
      <c r="AO373" s="36">
        <f t="shared" ref="AO373:AO377" si="364">7*8</f>
        <v>56</v>
      </c>
      <c r="AP373" s="63">
        <f t="shared" si="363"/>
        <v>61</v>
      </c>
      <c r="AQ373" s="63">
        <v>0</v>
      </c>
      <c r="AR373" s="36">
        <v>0</v>
      </c>
      <c r="AS373" s="36">
        <v>0</v>
      </c>
      <c r="AT373" s="36">
        <v>0</v>
      </c>
      <c r="AU373" s="36">
        <v>0</v>
      </c>
      <c r="AV373" s="36">
        <v>0</v>
      </c>
      <c r="AW373" s="36">
        <v>0</v>
      </c>
      <c r="AX373" s="36">
        <v>0</v>
      </c>
      <c r="AY373" s="36">
        <v>0</v>
      </c>
      <c r="AZ373" s="36">
        <v>0</v>
      </c>
    </row>
    <row r="374" s="24" customFormat="1" ht="21" customHeight="1" spans="1:52">
      <c r="A374" s="42"/>
      <c r="B374" s="43"/>
      <c r="C374" s="42"/>
      <c r="D374" s="61" t="s">
        <v>37</v>
      </c>
      <c r="E374" s="38"/>
      <c r="F374" s="38"/>
      <c r="G374" s="38"/>
      <c r="H374" s="38"/>
      <c r="I374" s="38"/>
      <c r="J374" s="39"/>
      <c r="K374" s="39"/>
      <c r="L374" s="38"/>
      <c r="M374" s="38"/>
      <c r="N374" s="38"/>
      <c r="O374" s="38"/>
      <c r="P374" s="38"/>
      <c r="Q374" s="39"/>
      <c r="R374" s="39"/>
      <c r="S374" s="38"/>
      <c r="T374" s="38"/>
      <c r="U374" s="38"/>
      <c r="V374" s="38"/>
      <c r="W374" s="40"/>
      <c r="X374" s="39"/>
      <c r="Y374" s="39"/>
      <c r="Z374" s="38"/>
      <c r="AA374" s="38"/>
      <c r="AB374" s="38"/>
      <c r="AC374" s="38"/>
      <c r="AD374" s="38"/>
      <c r="AE374" s="39"/>
      <c r="AF374" s="39"/>
      <c r="AG374" s="38">
        <v>3</v>
      </c>
      <c r="AH374" s="38">
        <v>2</v>
      </c>
      <c r="AI374" s="61">
        <v>2</v>
      </c>
      <c r="AJ374" s="64"/>
      <c r="AK374" s="43"/>
      <c r="AL374" s="43"/>
      <c r="AM374" s="42"/>
      <c r="AN374" s="42"/>
      <c r="AO374" s="42"/>
      <c r="AP374" s="65"/>
      <c r="AQ374" s="65"/>
      <c r="AR374" s="42"/>
      <c r="AS374" s="42"/>
      <c r="AT374" s="42"/>
      <c r="AU374" s="42"/>
      <c r="AV374" s="42"/>
      <c r="AW374" s="42"/>
      <c r="AX374" s="42"/>
      <c r="AY374" s="42"/>
      <c r="AZ374" s="42"/>
    </row>
    <row r="375" s="24" customFormat="1" ht="21" customHeight="1" spans="1:52">
      <c r="A375" s="36">
        <v>186</v>
      </c>
      <c r="B375" s="35" t="s">
        <v>32</v>
      </c>
      <c r="C375" s="36" t="s">
        <v>277</v>
      </c>
      <c r="D375" s="61" t="s">
        <v>34</v>
      </c>
      <c r="E375" s="38"/>
      <c r="F375" s="38"/>
      <c r="G375" s="38"/>
      <c r="H375" s="38"/>
      <c r="I375" s="38"/>
      <c r="J375" s="39"/>
      <c r="K375" s="39"/>
      <c r="L375" s="38"/>
      <c r="M375" s="38"/>
      <c r="N375" s="38"/>
      <c r="O375" s="38"/>
      <c r="P375" s="38"/>
      <c r="Q375" s="39"/>
      <c r="R375" s="39"/>
      <c r="S375" s="38"/>
      <c r="T375" s="38"/>
      <c r="U375" s="38"/>
      <c r="V375" s="38"/>
      <c r="W375" s="40"/>
      <c r="X375" s="39"/>
      <c r="Y375" s="39"/>
      <c r="Z375" s="44" t="s">
        <v>35</v>
      </c>
      <c r="AA375" s="44" t="s">
        <v>35</v>
      </c>
      <c r="AB375" s="44" t="s">
        <v>35</v>
      </c>
      <c r="AC375" s="44" t="s">
        <v>35</v>
      </c>
      <c r="AD375" s="44" t="s">
        <v>35</v>
      </c>
      <c r="AE375" s="39" t="s">
        <v>36</v>
      </c>
      <c r="AF375" s="39" t="s">
        <v>36</v>
      </c>
      <c r="AG375" s="44" t="s">
        <v>35</v>
      </c>
      <c r="AH375" s="44" t="s">
        <v>35</v>
      </c>
      <c r="AI375" s="61">
        <v>7</v>
      </c>
      <c r="AJ375" s="62">
        <f t="shared" si="360"/>
        <v>7</v>
      </c>
      <c r="AK375" s="35">
        <v>0</v>
      </c>
      <c r="AL375" s="35">
        <f t="shared" ref="AL375:AL379" si="365">E376+F376+G376+H376+I376+L376+M376+N376+O376+P376+S376+T376+U376+V376+Z376+AA376+AB376+AC376+AD376+AG376+AH376</f>
        <v>2</v>
      </c>
      <c r="AM375" s="36">
        <f t="shared" si="361"/>
        <v>0</v>
      </c>
      <c r="AN375" s="36">
        <f t="shared" si="362"/>
        <v>0</v>
      </c>
      <c r="AO375" s="36">
        <f t="shared" si="364"/>
        <v>56</v>
      </c>
      <c r="AP375" s="63">
        <f t="shared" si="363"/>
        <v>58</v>
      </c>
      <c r="AQ375" s="63">
        <v>0</v>
      </c>
      <c r="AR375" s="36">
        <v>0</v>
      </c>
      <c r="AS375" s="36">
        <v>0</v>
      </c>
      <c r="AT375" s="36">
        <v>0</v>
      </c>
      <c r="AU375" s="36">
        <v>0</v>
      </c>
      <c r="AV375" s="36">
        <v>0</v>
      </c>
      <c r="AW375" s="36">
        <v>0</v>
      </c>
      <c r="AX375" s="36">
        <v>0</v>
      </c>
      <c r="AY375" s="36">
        <v>0</v>
      </c>
      <c r="AZ375" s="36">
        <v>0</v>
      </c>
    </row>
    <row r="376" s="24" customFormat="1" ht="21" customHeight="1" spans="1:52">
      <c r="A376" s="42"/>
      <c r="B376" s="43"/>
      <c r="C376" s="42"/>
      <c r="D376" s="61" t="s">
        <v>37</v>
      </c>
      <c r="E376" s="38"/>
      <c r="F376" s="38"/>
      <c r="G376" s="38"/>
      <c r="H376" s="38"/>
      <c r="I376" s="38"/>
      <c r="J376" s="39"/>
      <c r="K376" s="39"/>
      <c r="L376" s="38"/>
      <c r="M376" s="38"/>
      <c r="N376" s="38"/>
      <c r="O376" s="38"/>
      <c r="P376" s="38"/>
      <c r="Q376" s="39"/>
      <c r="R376" s="39"/>
      <c r="S376" s="38"/>
      <c r="T376" s="38"/>
      <c r="U376" s="38"/>
      <c r="V376" s="38"/>
      <c r="W376" s="40"/>
      <c r="X376" s="39"/>
      <c r="Y376" s="39"/>
      <c r="Z376" s="38"/>
      <c r="AA376" s="38"/>
      <c r="AB376" s="38">
        <v>1</v>
      </c>
      <c r="AC376" s="38"/>
      <c r="AD376" s="38"/>
      <c r="AE376" s="39"/>
      <c r="AF376" s="39"/>
      <c r="AG376" s="38"/>
      <c r="AH376" s="38">
        <v>1</v>
      </c>
      <c r="AI376" s="61">
        <v>0</v>
      </c>
      <c r="AJ376" s="64"/>
      <c r="AK376" s="43"/>
      <c r="AL376" s="43"/>
      <c r="AM376" s="42"/>
      <c r="AN376" s="42"/>
      <c r="AO376" s="42"/>
      <c r="AP376" s="65"/>
      <c r="AQ376" s="65"/>
      <c r="AR376" s="42"/>
      <c r="AS376" s="42"/>
      <c r="AT376" s="42"/>
      <c r="AU376" s="42"/>
      <c r="AV376" s="42"/>
      <c r="AW376" s="42"/>
      <c r="AX376" s="42"/>
      <c r="AY376" s="42"/>
      <c r="AZ376" s="42"/>
    </row>
    <row r="377" s="24" customFormat="1" ht="21" customHeight="1" spans="1:52">
      <c r="A377" s="36">
        <v>187</v>
      </c>
      <c r="B377" s="35" t="s">
        <v>32</v>
      </c>
      <c r="C377" s="36" t="s">
        <v>278</v>
      </c>
      <c r="D377" s="61" t="s">
        <v>34</v>
      </c>
      <c r="E377" s="44"/>
      <c r="F377" s="44"/>
      <c r="G377" s="44"/>
      <c r="H377" s="44"/>
      <c r="I377" s="44"/>
      <c r="J377" s="45"/>
      <c r="K377" s="45"/>
      <c r="L377" s="44"/>
      <c r="M377" s="44"/>
      <c r="N377" s="44"/>
      <c r="O377" s="44"/>
      <c r="P377" s="44"/>
      <c r="Q377" s="45"/>
      <c r="R377" s="45"/>
      <c r="S377" s="44"/>
      <c r="T377" s="44"/>
      <c r="U377" s="44"/>
      <c r="V377" s="44"/>
      <c r="W377" s="46"/>
      <c r="X377" s="45"/>
      <c r="Y377" s="45"/>
      <c r="Z377" s="44" t="s">
        <v>35</v>
      </c>
      <c r="AA377" s="44" t="s">
        <v>35</v>
      </c>
      <c r="AB377" s="44" t="s">
        <v>35</v>
      </c>
      <c r="AC377" s="44" t="s">
        <v>35</v>
      </c>
      <c r="AD377" s="44" t="s">
        <v>35</v>
      </c>
      <c r="AE377" s="45" t="s">
        <v>36</v>
      </c>
      <c r="AF377" s="45" t="s">
        <v>36</v>
      </c>
      <c r="AG377" s="44" t="s">
        <v>35</v>
      </c>
      <c r="AH377" s="44" t="s">
        <v>35</v>
      </c>
      <c r="AI377" s="50">
        <v>7</v>
      </c>
      <c r="AJ377" s="51">
        <f t="shared" ref="AJ377:AJ381" si="366">AI377+AI378</f>
        <v>9</v>
      </c>
      <c r="AK377" s="51">
        <v>0</v>
      </c>
      <c r="AL377" s="52">
        <f t="shared" si="365"/>
        <v>3</v>
      </c>
      <c r="AM377" s="53">
        <f t="shared" ref="AM377:AM381" si="367">J378+K378+Q378+R378+X378+Y378+AE378+AF378</f>
        <v>0</v>
      </c>
      <c r="AN377" s="53">
        <f t="shared" ref="AN377:AN381" si="368">W378</f>
        <v>0</v>
      </c>
      <c r="AO377" s="53">
        <f t="shared" si="364"/>
        <v>56</v>
      </c>
      <c r="AP377" s="54">
        <f t="shared" ref="AP377:AP381" si="369">AL377+AM377+AN377+AO377-AQ377-AS377-AT377-AV377-AW377-AX377-AY377-AZ377-AU377</f>
        <v>59</v>
      </c>
      <c r="AQ377" s="54">
        <v>0</v>
      </c>
      <c r="AR377" s="36">
        <v>0</v>
      </c>
      <c r="AS377" s="53">
        <v>0</v>
      </c>
      <c r="AT377" s="53">
        <v>0</v>
      </c>
      <c r="AU377" s="53">
        <v>0</v>
      </c>
      <c r="AV377" s="53">
        <v>0</v>
      </c>
      <c r="AW377" s="53">
        <v>0</v>
      </c>
      <c r="AX377" s="53">
        <v>0</v>
      </c>
      <c r="AY377" s="53">
        <v>0</v>
      </c>
      <c r="AZ377" s="53">
        <v>0</v>
      </c>
    </row>
    <row r="378" s="24" customFormat="1" ht="21" customHeight="1" spans="1:52">
      <c r="A378" s="42"/>
      <c r="B378" s="43"/>
      <c r="C378" s="42"/>
      <c r="D378" s="61" t="s">
        <v>37</v>
      </c>
      <c r="E378" s="44"/>
      <c r="F378" s="44"/>
      <c r="G378" s="44"/>
      <c r="H378" s="44"/>
      <c r="I378" s="44"/>
      <c r="J378" s="45"/>
      <c r="K378" s="45"/>
      <c r="L378" s="44"/>
      <c r="M378" s="44"/>
      <c r="N378" s="44"/>
      <c r="O378" s="44"/>
      <c r="P378" s="44"/>
      <c r="Q378" s="45"/>
      <c r="R378" s="45"/>
      <c r="S378" s="44"/>
      <c r="T378" s="44"/>
      <c r="U378" s="44"/>
      <c r="V378" s="44"/>
      <c r="W378" s="46"/>
      <c r="X378" s="45"/>
      <c r="Y378" s="45"/>
      <c r="Z378" s="44"/>
      <c r="AA378" s="44"/>
      <c r="AB378" s="44">
        <v>1.5</v>
      </c>
      <c r="AC378" s="44"/>
      <c r="AD378" s="44"/>
      <c r="AE378" s="45"/>
      <c r="AF378" s="45"/>
      <c r="AG378" s="44">
        <v>1.5</v>
      </c>
      <c r="AH378" s="44"/>
      <c r="AI378" s="50">
        <v>2</v>
      </c>
      <c r="AJ378" s="56"/>
      <c r="AK378" s="56"/>
      <c r="AL378" s="57"/>
      <c r="AM378" s="58"/>
      <c r="AN378" s="58"/>
      <c r="AO378" s="58"/>
      <c r="AP378" s="59"/>
      <c r="AQ378" s="59"/>
      <c r="AR378" s="42"/>
      <c r="AS378" s="58"/>
      <c r="AT378" s="58"/>
      <c r="AU378" s="58"/>
      <c r="AV378" s="58"/>
      <c r="AW378" s="58"/>
      <c r="AX378" s="58"/>
      <c r="AY378" s="58"/>
      <c r="AZ378" s="58"/>
    </row>
    <row r="379" s="24" customFormat="1" ht="21" customHeight="1" spans="1:52">
      <c r="A379" s="36">
        <v>188</v>
      </c>
      <c r="B379" s="35" t="s">
        <v>32</v>
      </c>
      <c r="C379" s="36" t="s">
        <v>279</v>
      </c>
      <c r="D379" s="61" t="s">
        <v>34</v>
      </c>
      <c r="E379" s="38"/>
      <c r="F379" s="38"/>
      <c r="G379" s="38"/>
      <c r="H379" s="38"/>
      <c r="I379" s="38"/>
      <c r="J379" s="39"/>
      <c r="K379" s="39"/>
      <c r="L379" s="38"/>
      <c r="M379" s="38"/>
      <c r="N379" s="38"/>
      <c r="O379" s="38"/>
      <c r="P379" s="38"/>
      <c r="Q379" s="39"/>
      <c r="R379" s="39"/>
      <c r="S379" s="38"/>
      <c r="T379" s="38"/>
      <c r="U379" s="38"/>
      <c r="V379" s="38"/>
      <c r="W379" s="40"/>
      <c r="X379" s="39"/>
      <c r="Y379" s="39"/>
      <c r="Z379" s="38"/>
      <c r="AA379" s="44" t="s">
        <v>35</v>
      </c>
      <c r="AB379" s="44" t="s">
        <v>35</v>
      </c>
      <c r="AC379" s="44" t="s">
        <v>35</v>
      </c>
      <c r="AD379" s="44" t="s">
        <v>35</v>
      </c>
      <c r="AE379" s="39" t="s">
        <v>36</v>
      </c>
      <c r="AF379" s="39" t="s">
        <v>36</v>
      </c>
      <c r="AG379" s="44" t="s">
        <v>35</v>
      </c>
      <c r="AH379" s="44" t="s">
        <v>35</v>
      </c>
      <c r="AI379" s="61">
        <v>6</v>
      </c>
      <c r="AJ379" s="62">
        <f t="shared" si="366"/>
        <v>7</v>
      </c>
      <c r="AK379" s="35">
        <v>0</v>
      </c>
      <c r="AL379" s="35">
        <f t="shared" si="365"/>
        <v>3.5</v>
      </c>
      <c r="AM379" s="36">
        <f t="shared" si="367"/>
        <v>0</v>
      </c>
      <c r="AN379" s="36">
        <f t="shared" si="368"/>
        <v>0</v>
      </c>
      <c r="AO379" s="36">
        <f>6*8</f>
        <v>48</v>
      </c>
      <c r="AP379" s="63">
        <f t="shared" si="369"/>
        <v>51.5</v>
      </c>
      <c r="AQ379" s="63">
        <v>0</v>
      </c>
      <c r="AR379" s="36">
        <v>0</v>
      </c>
      <c r="AS379" s="36">
        <v>0</v>
      </c>
      <c r="AT379" s="36">
        <v>0</v>
      </c>
      <c r="AU379" s="36">
        <v>0</v>
      </c>
      <c r="AV379" s="36">
        <v>0</v>
      </c>
      <c r="AW379" s="36">
        <v>0</v>
      </c>
      <c r="AX379" s="36">
        <v>0</v>
      </c>
      <c r="AY379" s="36">
        <v>0</v>
      </c>
      <c r="AZ379" s="36">
        <v>0</v>
      </c>
    </row>
    <row r="380" s="24" customFormat="1" ht="21" customHeight="1" spans="1:52">
      <c r="A380" s="42"/>
      <c r="B380" s="43"/>
      <c r="C380" s="42"/>
      <c r="D380" s="61" t="s">
        <v>37</v>
      </c>
      <c r="E380" s="38"/>
      <c r="F380" s="38"/>
      <c r="G380" s="38"/>
      <c r="H380" s="38"/>
      <c r="I380" s="38"/>
      <c r="J380" s="39"/>
      <c r="K380" s="39"/>
      <c r="L380" s="38"/>
      <c r="M380" s="38"/>
      <c r="N380" s="38"/>
      <c r="O380" s="38"/>
      <c r="P380" s="38"/>
      <c r="Q380" s="39"/>
      <c r="R380" s="39"/>
      <c r="S380" s="38"/>
      <c r="T380" s="38"/>
      <c r="U380" s="38"/>
      <c r="V380" s="38"/>
      <c r="W380" s="40"/>
      <c r="X380" s="39"/>
      <c r="Y380" s="39"/>
      <c r="Z380" s="38"/>
      <c r="AA380" s="38"/>
      <c r="AB380" s="38"/>
      <c r="AC380" s="38"/>
      <c r="AD380" s="38"/>
      <c r="AE380" s="39"/>
      <c r="AF380" s="39"/>
      <c r="AG380" s="38">
        <v>2</v>
      </c>
      <c r="AH380" s="38">
        <v>1.5</v>
      </c>
      <c r="AI380" s="61">
        <v>1</v>
      </c>
      <c r="AJ380" s="64"/>
      <c r="AK380" s="43"/>
      <c r="AL380" s="43"/>
      <c r="AM380" s="42"/>
      <c r="AN380" s="42"/>
      <c r="AO380" s="42"/>
      <c r="AP380" s="65"/>
      <c r="AQ380" s="65"/>
      <c r="AR380" s="42"/>
      <c r="AS380" s="42"/>
      <c r="AT380" s="42"/>
      <c r="AU380" s="42"/>
      <c r="AV380" s="42"/>
      <c r="AW380" s="42"/>
      <c r="AX380" s="42"/>
      <c r="AY380" s="42"/>
      <c r="AZ380" s="42"/>
    </row>
    <row r="381" s="24" customFormat="1" ht="21" customHeight="1" spans="1:52">
      <c r="A381" s="36">
        <v>189</v>
      </c>
      <c r="B381" s="35" t="s">
        <v>32</v>
      </c>
      <c r="C381" s="36" t="s">
        <v>280</v>
      </c>
      <c r="D381" s="61" t="s">
        <v>34</v>
      </c>
      <c r="E381" s="38"/>
      <c r="F381" s="38"/>
      <c r="G381" s="38"/>
      <c r="H381" s="38"/>
      <c r="I381" s="38"/>
      <c r="J381" s="39"/>
      <c r="K381" s="39"/>
      <c r="L381" s="38"/>
      <c r="M381" s="38"/>
      <c r="N381" s="38"/>
      <c r="O381" s="38"/>
      <c r="P381" s="38"/>
      <c r="Q381" s="39"/>
      <c r="R381" s="39"/>
      <c r="S381" s="38"/>
      <c r="T381" s="38"/>
      <c r="U381" s="38"/>
      <c r="V381" s="38"/>
      <c r="W381" s="40"/>
      <c r="X381" s="39"/>
      <c r="Y381" s="39"/>
      <c r="Z381" s="38"/>
      <c r="AA381" s="38"/>
      <c r="AB381" s="44" t="s">
        <v>35</v>
      </c>
      <c r="AC381" s="44" t="s">
        <v>35</v>
      </c>
      <c r="AD381" s="44" t="s">
        <v>35</v>
      </c>
      <c r="AE381" s="39"/>
      <c r="AF381" s="39" t="s">
        <v>36</v>
      </c>
      <c r="AG381" s="44" t="s">
        <v>35</v>
      </c>
      <c r="AH381" s="44" t="s">
        <v>35</v>
      </c>
      <c r="AI381" s="61">
        <v>5</v>
      </c>
      <c r="AJ381" s="62">
        <f t="shared" si="366"/>
        <v>9</v>
      </c>
      <c r="AK381" s="35">
        <v>0</v>
      </c>
      <c r="AL381" s="35">
        <f t="shared" ref="AL381:AL385" si="370">E382+F382+G382+H382+I382+L382+M382+N382+O382+P382+S382+T382+U382+V382+Z382+AA382+AB382+AC382+AD382+AG382+AH382</f>
        <v>11.5</v>
      </c>
      <c r="AM381" s="36">
        <f t="shared" si="367"/>
        <v>7.5</v>
      </c>
      <c r="AN381" s="36">
        <f t="shared" si="368"/>
        <v>0</v>
      </c>
      <c r="AO381" s="36">
        <f>5*8</f>
        <v>40</v>
      </c>
      <c r="AP381" s="63">
        <f t="shared" si="369"/>
        <v>59</v>
      </c>
      <c r="AQ381" s="63">
        <v>0</v>
      </c>
      <c r="AR381" s="36">
        <v>0</v>
      </c>
      <c r="AS381" s="36">
        <v>0</v>
      </c>
      <c r="AT381" s="36">
        <v>0</v>
      </c>
      <c r="AU381" s="36">
        <v>0</v>
      </c>
      <c r="AV381" s="36">
        <v>0</v>
      </c>
      <c r="AW381" s="36">
        <v>0</v>
      </c>
      <c r="AX381" s="36">
        <v>0</v>
      </c>
      <c r="AY381" s="36">
        <v>0</v>
      </c>
      <c r="AZ381" s="36">
        <v>0</v>
      </c>
    </row>
    <row r="382" s="24" customFormat="1" ht="21" customHeight="1" spans="1:52">
      <c r="A382" s="42"/>
      <c r="B382" s="43"/>
      <c r="C382" s="42"/>
      <c r="D382" s="61" t="s">
        <v>37</v>
      </c>
      <c r="E382" s="38"/>
      <c r="F382" s="38"/>
      <c r="G382" s="38"/>
      <c r="H382" s="38"/>
      <c r="I382" s="38"/>
      <c r="J382" s="39"/>
      <c r="K382" s="39"/>
      <c r="L382" s="38"/>
      <c r="M382" s="38"/>
      <c r="N382" s="38"/>
      <c r="O382" s="38"/>
      <c r="P382" s="38"/>
      <c r="Q382" s="39"/>
      <c r="R382" s="39"/>
      <c r="S382" s="38"/>
      <c r="T382" s="38"/>
      <c r="U382" s="38"/>
      <c r="V382" s="38"/>
      <c r="W382" s="40"/>
      <c r="X382" s="39"/>
      <c r="Y382" s="39"/>
      <c r="Z382" s="38"/>
      <c r="AA382" s="38"/>
      <c r="AB382" s="38"/>
      <c r="AC382" s="38"/>
      <c r="AD382" s="38">
        <v>4</v>
      </c>
      <c r="AE382" s="39">
        <v>7.5</v>
      </c>
      <c r="AF382" s="39"/>
      <c r="AG382" s="38">
        <v>4.5</v>
      </c>
      <c r="AH382" s="38">
        <v>3</v>
      </c>
      <c r="AI382" s="61">
        <v>4</v>
      </c>
      <c r="AJ382" s="64"/>
      <c r="AK382" s="43"/>
      <c r="AL382" s="43"/>
      <c r="AM382" s="42"/>
      <c r="AN382" s="42"/>
      <c r="AO382" s="42"/>
      <c r="AP382" s="65"/>
      <c r="AQ382" s="65"/>
      <c r="AR382" s="42"/>
      <c r="AS382" s="42"/>
      <c r="AT382" s="42"/>
      <c r="AU382" s="42"/>
      <c r="AV382" s="42"/>
      <c r="AW382" s="42"/>
      <c r="AX382" s="42"/>
      <c r="AY382" s="42"/>
      <c r="AZ382" s="42"/>
    </row>
    <row r="383" s="24" customFormat="1" ht="21" customHeight="1" spans="1:52">
      <c r="A383" s="36">
        <v>190</v>
      </c>
      <c r="B383" s="35" t="s">
        <v>32</v>
      </c>
      <c r="C383" s="36" t="s">
        <v>281</v>
      </c>
      <c r="D383" s="61" t="s">
        <v>34</v>
      </c>
      <c r="E383" s="38"/>
      <c r="F383" s="38"/>
      <c r="G383" s="38"/>
      <c r="H383" s="38"/>
      <c r="I383" s="38"/>
      <c r="J383" s="39"/>
      <c r="K383" s="39"/>
      <c r="L383" s="38"/>
      <c r="M383" s="38"/>
      <c r="N383" s="38"/>
      <c r="O383" s="38"/>
      <c r="P383" s="38"/>
      <c r="Q383" s="39"/>
      <c r="R383" s="39"/>
      <c r="S383" s="38"/>
      <c r="T383" s="38"/>
      <c r="U383" s="38"/>
      <c r="V383" s="38"/>
      <c r="W383" s="40"/>
      <c r="X383" s="39"/>
      <c r="Y383" s="39"/>
      <c r="Z383" s="38"/>
      <c r="AA383" s="38"/>
      <c r="AB383" s="38"/>
      <c r="AC383" s="44" t="s">
        <v>35</v>
      </c>
      <c r="AD383" s="44" t="s">
        <v>35</v>
      </c>
      <c r="AE383" s="39"/>
      <c r="AF383" s="39" t="s">
        <v>36</v>
      </c>
      <c r="AG383" s="44" t="s">
        <v>35</v>
      </c>
      <c r="AH383" s="44" t="s">
        <v>35</v>
      </c>
      <c r="AI383" s="61">
        <v>4</v>
      </c>
      <c r="AJ383" s="62">
        <f>AI383+AI384</f>
        <v>4</v>
      </c>
      <c r="AK383" s="35">
        <v>0</v>
      </c>
      <c r="AL383" s="35">
        <f t="shared" si="370"/>
        <v>0</v>
      </c>
      <c r="AM383" s="36">
        <f>J384+K384+Q384+R384+X384+Y384+AE384+AF384</f>
        <v>4.5</v>
      </c>
      <c r="AN383" s="36">
        <f>W384</f>
        <v>0</v>
      </c>
      <c r="AO383" s="36">
        <f>4*8</f>
        <v>32</v>
      </c>
      <c r="AP383" s="63">
        <f>AL383+AM383+AN383+AO383-AQ383-AS383-AT383-AV383-AW383-AX383-AY383-AZ383-AU383</f>
        <v>36.5</v>
      </c>
      <c r="AQ383" s="63">
        <v>0</v>
      </c>
      <c r="AR383" s="36">
        <v>0</v>
      </c>
      <c r="AS383" s="36">
        <v>0</v>
      </c>
      <c r="AT383" s="36">
        <v>0</v>
      </c>
      <c r="AU383" s="36">
        <v>0</v>
      </c>
      <c r="AV383" s="36">
        <v>0</v>
      </c>
      <c r="AW383" s="36">
        <v>0</v>
      </c>
      <c r="AX383" s="36">
        <v>0</v>
      </c>
      <c r="AY383" s="36">
        <v>0</v>
      </c>
      <c r="AZ383" s="36">
        <v>0</v>
      </c>
    </row>
    <row r="384" s="24" customFormat="1" ht="21" customHeight="1" spans="1:52">
      <c r="A384" s="42"/>
      <c r="B384" s="43"/>
      <c r="C384" s="42"/>
      <c r="D384" s="61" t="s">
        <v>37</v>
      </c>
      <c r="E384" s="38"/>
      <c r="F384" s="38"/>
      <c r="G384" s="38"/>
      <c r="H384" s="38"/>
      <c r="I384" s="38"/>
      <c r="J384" s="39"/>
      <c r="K384" s="39"/>
      <c r="L384" s="38"/>
      <c r="M384" s="38"/>
      <c r="N384" s="38"/>
      <c r="O384" s="38"/>
      <c r="P384" s="38"/>
      <c r="Q384" s="39"/>
      <c r="R384" s="39"/>
      <c r="S384" s="38"/>
      <c r="T384" s="38"/>
      <c r="U384" s="38"/>
      <c r="V384" s="38"/>
      <c r="W384" s="40"/>
      <c r="X384" s="39"/>
      <c r="Y384" s="39"/>
      <c r="Z384" s="38"/>
      <c r="AA384" s="38"/>
      <c r="AB384" s="38"/>
      <c r="AC384" s="38"/>
      <c r="AD384" s="38"/>
      <c r="AE384" s="39">
        <v>4.5</v>
      </c>
      <c r="AF384" s="39"/>
      <c r="AG384" s="38"/>
      <c r="AH384" s="38"/>
      <c r="AI384" s="61">
        <v>0</v>
      </c>
      <c r="AJ384" s="64"/>
      <c r="AK384" s="43"/>
      <c r="AL384" s="43"/>
      <c r="AM384" s="42"/>
      <c r="AN384" s="42"/>
      <c r="AO384" s="42"/>
      <c r="AP384" s="65"/>
      <c r="AQ384" s="65"/>
      <c r="AR384" s="42"/>
      <c r="AS384" s="42"/>
      <c r="AT384" s="42"/>
      <c r="AU384" s="42"/>
      <c r="AV384" s="42"/>
      <c r="AW384" s="42"/>
      <c r="AX384" s="42"/>
      <c r="AY384" s="42"/>
      <c r="AZ384" s="42"/>
    </row>
    <row r="385" s="24" customFormat="1" ht="21" customHeight="1" spans="1:52">
      <c r="A385" s="36">
        <v>191</v>
      </c>
      <c r="B385" s="35" t="s">
        <v>32</v>
      </c>
      <c r="C385" s="36" t="s">
        <v>282</v>
      </c>
      <c r="D385" s="61" t="s">
        <v>34</v>
      </c>
      <c r="E385" s="38"/>
      <c r="F385" s="38"/>
      <c r="G385" s="38"/>
      <c r="H385" s="38"/>
      <c r="I385" s="38"/>
      <c r="J385" s="39"/>
      <c r="K385" s="39"/>
      <c r="L385" s="38"/>
      <c r="M385" s="38"/>
      <c r="N385" s="38"/>
      <c r="O385" s="38"/>
      <c r="P385" s="38"/>
      <c r="Q385" s="39"/>
      <c r="R385" s="39"/>
      <c r="S385" s="38"/>
      <c r="T385" s="38"/>
      <c r="U385" s="38"/>
      <c r="V385" s="38"/>
      <c r="W385" s="40"/>
      <c r="X385" s="39"/>
      <c r="Y385" s="39"/>
      <c r="Z385" s="38"/>
      <c r="AA385" s="38"/>
      <c r="AB385" s="38"/>
      <c r="AC385" s="38"/>
      <c r="AD385" s="38"/>
      <c r="AE385" s="39"/>
      <c r="AF385" s="39"/>
      <c r="AG385" s="38" t="s">
        <v>35</v>
      </c>
      <c r="AH385" s="38" t="s">
        <v>35</v>
      </c>
      <c r="AI385" s="61">
        <v>2</v>
      </c>
      <c r="AJ385" s="62">
        <f>AI385+AI386</f>
        <v>2</v>
      </c>
      <c r="AK385" s="35">
        <v>0</v>
      </c>
      <c r="AL385" s="35">
        <f t="shared" si="370"/>
        <v>0</v>
      </c>
      <c r="AM385" s="36">
        <f>J386+K386+Q386+R386+X386+Y386+AE386+AF386</f>
        <v>0</v>
      </c>
      <c r="AN385" s="36">
        <f>W386</f>
        <v>0</v>
      </c>
      <c r="AO385" s="36">
        <f>2*8</f>
        <v>16</v>
      </c>
      <c r="AP385" s="63">
        <f>AL385+AM385+AN385+AO385-AQ385-AS385-AT385-AV385-AW385-AX385-AY385-AZ385-AU385</f>
        <v>16</v>
      </c>
      <c r="AQ385" s="63">
        <v>0</v>
      </c>
      <c r="AR385" s="36">
        <v>0</v>
      </c>
      <c r="AS385" s="36">
        <v>0</v>
      </c>
      <c r="AT385" s="36">
        <v>0</v>
      </c>
      <c r="AU385" s="36">
        <v>0</v>
      </c>
      <c r="AV385" s="36">
        <v>0</v>
      </c>
      <c r="AW385" s="36">
        <v>0</v>
      </c>
      <c r="AX385" s="36">
        <v>0</v>
      </c>
      <c r="AY385" s="36">
        <v>0</v>
      </c>
      <c r="AZ385" s="36">
        <v>0</v>
      </c>
    </row>
    <row r="386" s="24" customFormat="1" ht="21" customHeight="1" spans="1:52">
      <c r="A386" s="42"/>
      <c r="B386" s="43"/>
      <c r="C386" s="42"/>
      <c r="D386" s="61" t="s">
        <v>37</v>
      </c>
      <c r="E386" s="38"/>
      <c r="F386" s="38"/>
      <c r="G386" s="38"/>
      <c r="H386" s="38"/>
      <c r="I386" s="38"/>
      <c r="J386" s="39"/>
      <c r="K386" s="39"/>
      <c r="L386" s="38"/>
      <c r="M386" s="38"/>
      <c r="N386" s="38"/>
      <c r="O386" s="38"/>
      <c r="P386" s="38"/>
      <c r="Q386" s="39"/>
      <c r="R386" s="39"/>
      <c r="S386" s="38"/>
      <c r="T386" s="38"/>
      <c r="U386" s="38"/>
      <c r="V386" s="38"/>
      <c r="W386" s="40"/>
      <c r="X386" s="39"/>
      <c r="Y386" s="39"/>
      <c r="Z386" s="38"/>
      <c r="AA386" s="38"/>
      <c r="AB386" s="38"/>
      <c r="AC386" s="38"/>
      <c r="AD386" s="38"/>
      <c r="AE386" s="39"/>
      <c r="AF386" s="39"/>
      <c r="AG386" s="38"/>
      <c r="AH386" s="38"/>
      <c r="AI386" s="61">
        <v>0</v>
      </c>
      <c r="AJ386" s="64"/>
      <c r="AK386" s="43"/>
      <c r="AL386" s="43"/>
      <c r="AM386" s="42"/>
      <c r="AN386" s="42"/>
      <c r="AO386" s="42"/>
      <c r="AP386" s="65"/>
      <c r="AQ386" s="65"/>
      <c r="AR386" s="42"/>
      <c r="AS386" s="42"/>
      <c r="AT386" s="42"/>
      <c r="AU386" s="42"/>
      <c r="AV386" s="42"/>
      <c r="AW386" s="42"/>
      <c r="AX386" s="42"/>
      <c r="AY386" s="42"/>
      <c r="AZ386" s="42"/>
    </row>
    <row r="387" s="24" customFormat="1" ht="21" customHeight="1" spans="1:52">
      <c r="A387" s="69"/>
      <c r="B387" s="25"/>
      <c r="E387" s="70" t="s">
        <v>283</v>
      </c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27"/>
      <c r="AS387" s="70"/>
      <c r="AT387" s="70"/>
      <c r="AU387" s="70"/>
      <c r="AV387" s="27"/>
      <c r="AW387" s="27"/>
      <c r="AX387" s="27"/>
      <c r="AY387" s="27"/>
      <c r="AZ387" s="27"/>
    </row>
    <row r="388" s="24" customFormat="1" ht="21" customHeight="1" spans="1:52">
      <c r="A388" s="69"/>
      <c r="B388" s="25"/>
      <c r="E388" s="71" t="s">
        <v>284</v>
      </c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27"/>
      <c r="AS388" s="71"/>
      <c r="AT388" s="71"/>
      <c r="AU388" s="71"/>
      <c r="AV388" s="27"/>
      <c r="AW388" s="27"/>
      <c r="AX388" s="27"/>
      <c r="AY388" s="27"/>
      <c r="AZ388" s="27"/>
    </row>
    <row r="389" s="24" customFormat="1" ht="21" customHeight="1" spans="1:52">
      <c r="A389" s="69"/>
      <c r="B389" s="25"/>
      <c r="E389" s="71" t="s">
        <v>285</v>
      </c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27"/>
      <c r="AS389" s="24"/>
      <c r="AT389" s="27"/>
      <c r="AU389" s="27"/>
      <c r="AV389" s="27"/>
      <c r="AW389" s="27"/>
      <c r="AX389" s="27"/>
      <c r="AY389" s="27"/>
      <c r="AZ389" s="27"/>
    </row>
    <row r="390" s="24" customFormat="1" ht="21" customHeight="1" spans="1:52">
      <c r="A390" s="69"/>
      <c r="B390" s="25"/>
      <c r="E390" s="72" t="s">
        <v>286</v>
      </c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AJ390" s="26"/>
      <c r="AK390" s="26"/>
      <c r="AR390" s="27"/>
      <c r="AS390" s="27"/>
      <c r="AT390" s="27"/>
      <c r="AU390" s="27"/>
      <c r="AV390" s="27"/>
      <c r="AW390" s="27"/>
      <c r="AX390" s="27"/>
      <c r="AY390" s="27"/>
      <c r="AZ390" s="27"/>
    </row>
    <row r="391" s="24" customFormat="1" ht="21" customHeight="1" spans="1:52">
      <c r="A391" s="69"/>
      <c r="B391" s="25"/>
      <c r="AJ391" s="26"/>
      <c r="AK391" s="26"/>
      <c r="AR391" s="27"/>
      <c r="AS391" s="27"/>
      <c r="AT391" s="27"/>
      <c r="AU391" s="27"/>
      <c r="AV391" s="27"/>
      <c r="AW391" s="27"/>
      <c r="AX391" s="27"/>
      <c r="AY391" s="27"/>
      <c r="AZ391" s="27"/>
    </row>
    <row r="392" s="24" customFormat="1" ht="21" customHeight="1" spans="1:52">
      <c r="A392" s="69"/>
      <c r="B392" s="25"/>
      <c r="AJ392" s="26"/>
      <c r="AK392" s="26"/>
      <c r="AR392" s="27"/>
      <c r="AS392" s="27"/>
      <c r="AT392" s="27"/>
      <c r="AU392" s="27"/>
      <c r="AV392" s="27"/>
      <c r="AW392" s="27"/>
      <c r="AX392" s="27"/>
      <c r="AY392" s="27"/>
      <c r="AZ392" s="27"/>
    </row>
    <row r="393" s="24" customFormat="1" ht="21" customHeight="1" spans="1:52">
      <c r="A393" s="73"/>
      <c r="B393" s="25"/>
      <c r="AJ393" s="26"/>
      <c r="AK393" s="26"/>
      <c r="AR393" s="27"/>
      <c r="AS393" s="27"/>
      <c r="AT393" s="27"/>
      <c r="AU393" s="27"/>
      <c r="AV393" s="27"/>
      <c r="AW393" s="27"/>
      <c r="AX393" s="27"/>
      <c r="AY393" s="27"/>
      <c r="AZ393" s="27"/>
    </row>
    <row r="394" s="24" customFormat="1" ht="21" customHeight="1" spans="1:52">
      <c r="A394" s="73"/>
      <c r="B394" s="25"/>
      <c r="AJ394" s="26"/>
      <c r="AK394" s="26"/>
      <c r="AR394" s="27"/>
      <c r="AS394" s="27"/>
      <c r="AT394" s="27"/>
      <c r="AU394" s="27"/>
      <c r="AV394" s="27"/>
      <c r="AW394" s="27"/>
      <c r="AX394" s="27"/>
      <c r="AY394" s="27"/>
      <c r="AZ394" s="27"/>
    </row>
    <row r="395" s="24" customFormat="1" ht="21" customHeight="1" spans="1:52">
      <c r="A395" s="73"/>
      <c r="B395" s="25"/>
      <c r="AJ395" s="26"/>
      <c r="AK395" s="26"/>
      <c r="AR395" s="27"/>
      <c r="AS395" s="27"/>
      <c r="AT395" s="27"/>
      <c r="AU395" s="27"/>
      <c r="AV395" s="27"/>
      <c r="AW395" s="27"/>
      <c r="AX395" s="27"/>
      <c r="AY395" s="27"/>
      <c r="AZ395" s="27"/>
    </row>
    <row r="396" s="24" customFormat="1" ht="21" customHeight="1" spans="1:52">
      <c r="A396" s="73"/>
      <c r="B396" s="25"/>
      <c r="AJ396" s="26"/>
      <c r="AK396" s="26"/>
      <c r="AR396" s="27"/>
      <c r="AS396" s="27"/>
      <c r="AT396" s="27"/>
      <c r="AU396" s="27"/>
      <c r="AV396" s="27"/>
      <c r="AW396" s="27"/>
      <c r="AX396" s="27"/>
      <c r="AY396" s="27"/>
      <c r="AZ396" s="27"/>
    </row>
    <row r="397" s="24" customFormat="1" ht="21" customHeight="1" spans="1:52">
      <c r="A397" s="69"/>
      <c r="B397" s="25"/>
      <c r="AJ397" s="26"/>
      <c r="AK397" s="26"/>
      <c r="AR397" s="27"/>
      <c r="AS397" s="27"/>
      <c r="AT397" s="27"/>
      <c r="AU397" s="27"/>
      <c r="AV397" s="27"/>
      <c r="AW397" s="27"/>
      <c r="AX397" s="27"/>
      <c r="AY397" s="27"/>
      <c r="AZ397" s="27"/>
    </row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0.25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30" customHeight="1"/>
    <row r="472" ht="30" customHeight="1"/>
    <row r="473" ht="30" customHeight="1"/>
    <row r="474" ht="30" customHeight="1"/>
  </sheetData>
  <mergeCells count="3847">
    <mergeCell ref="A1:AZ1"/>
    <mergeCell ref="A2:I2"/>
    <mergeCell ref="E388:AM388"/>
    <mergeCell ref="E389:AQ389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93:A394"/>
    <mergeCell ref="A395:A396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AI3:AI4"/>
    <mergeCell ref="AJ3:AJ4"/>
    <mergeCell ref="AJ5:AJ6"/>
    <mergeCell ref="AJ7:AJ8"/>
    <mergeCell ref="AJ9:AJ10"/>
    <mergeCell ref="AJ11:AJ12"/>
    <mergeCell ref="AJ13:AJ14"/>
    <mergeCell ref="AJ15:AJ16"/>
    <mergeCell ref="AJ17:AJ18"/>
    <mergeCell ref="AJ19:AJ20"/>
    <mergeCell ref="AJ21:AJ22"/>
    <mergeCell ref="AJ23:AJ24"/>
    <mergeCell ref="AJ25:AJ26"/>
    <mergeCell ref="AJ27:AJ28"/>
    <mergeCell ref="AJ29:AJ30"/>
    <mergeCell ref="AJ31:AJ32"/>
    <mergeCell ref="AJ33:AJ34"/>
    <mergeCell ref="AJ35:AJ36"/>
    <mergeCell ref="AJ37:AJ38"/>
    <mergeCell ref="AJ39:AJ40"/>
    <mergeCell ref="AJ41:AJ42"/>
    <mergeCell ref="AJ43:AJ44"/>
    <mergeCell ref="AJ45:AJ46"/>
    <mergeCell ref="AJ47:AJ48"/>
    <mergeCell ref="AJ49:AJ50"/>
    <mergeCell ref="AJ51:AJ52"/>
    <mergeCell ref="AJ53:AJ54"/>
    <mergeCell ref="AJ55:AJ56"/>
    <mergeCell ref="AJ57:AJ58"/>
    <mergeCell ref="AJ59:AJ60"/>
    <mergeCell ref="AJ61:AJ62"/>
    <mergeCell ref="AJ63:AJ64"/>
    <mergeCell ref="AJ65:AJ66"/>
    <mergeCell ref="AJ67:AJ68"/>
    <mergeCell ref="AJ69:AJ70"/>
    <mergeCell ref="AJ71:AJ72"/>
    <mergeCell ref="AJ73:AJ74"/>
    <mergeCell ref="AJ75:AJ76"/>
    <mergeCell ref="AJ77:AJ78"/>
    <mergeCell ref="AJ79:AJ80"/>
    <mergeCell ref="AJ81:AJ82"/>
    <mergeCell ref="AJ83:AJ84"/>
    <mergeCell ref="AJ85:AJ86"/>
    <mergeCell ref="AJ87:AJ88"/>
    <mergeCell ref="AJ89:AJ90"/>
    <mergeCell ref="AJ91:AJ92"/>
    <mergeCell ref="AJ93:AJ94"/>
    <mergeCell ref="AJ95:AJ96"/>
    <mergeCell ref="AJ97:AJ98"/>
    <mergeCell ref="AJ99:AJ100"/>
    <mergeCell ref="AJ101:AJ102"/>
    <mergeCell ref="AJ103:AJ104"/>
    <mergeCell ref="AJ105:AJ106"/>
    <mergeCell ref="AJ107:AJ108"/>
    <mergeCell ref="AJ109:AJ110"/>
    <mergeCell ref="AJ111:AJ112"/>
    <mergeCell ref="AJ113:AJ114"/>
    <mergeCell ref="AJ115:AJ116"/>
    <mergeCell ref="AJ117:AJ118"/>
    <mergeCell ref="AJ119:AJ120"/>
    <mergeCell ref="AJ121:AJ122"/>
    <mergeCell ref="AJ123:AJ124"/>
    <mergeCell ref="AJ125:AJ126"/>
    <mergeCell ref="AJ127:AJ128"/>
    <mergeCell ref="AJ129:AJ130"/>
    <mergeCell ref="AJ131:AJ132"/>
    <mergeCell ref="AJ133:AJ134"/>
    <mergeCell ref="AJ135:AJ136"/>
    <mergeCell ref="AJ137:AJ138"/>
    <mergeCell ref="AJ139:AJ140"/>
    <mergeCell ref="AJ141:AJ142"/>
    <mergeCell ref="AJ143:AJ144"/>
    <mergeCell ref="AJ145:AJ146"/>
    <mergeCell ref="AJ147:AJ148"/>
    <mergeCell ref="AJ149:AJ150"/>
    <mergeCell ref="AJ151:AJ152"/>
    <mergeCell ref="AJ153:AJ154"/>
    <mergeCell ref="AJ155:AJ156"/>
    <mergeCell ref="AJ157:AJ158"/>
    <mergeCell ref="AJ159:AJ160"/>
    <mergeCell ref="AJ161:AJ162"/>
    <mergeCell ref="AJ163:AJ164"/>
    <mergeCell ref="AJ165:AJ166"/>
    <mergeCell ref="AJ167:AJ168"/>
    <mergeCell ref="AJ169:AJ170"/>
    <mergeCell ref="AJ171:AJ172"/>
    <mergeCell ref="AJ173:AJ174"/>
    <mergeCell ref="AJ175:AJ176"/>
    <mergeCell ref="AJ177:AJ178"/>
    <mergeCell ref="AJ179:AJ180"/>
    <mergeCell ref="AJ181:AJ182"/>
    <mergeCell ref="AJ183:AJ184"/>
    <mergeCell ref="AJ185:AJ186"/>
    <mergeCell ref="AJ187:AJ188"/>
    <mergeCell ref="AJ189:AJ190"/>
    <mergeCell ref="AJ191:AJ192"/>
    <mergeCell ref="AJ193:AJ194"/>
    <mergeCell ref="AJ195:AJ196"/>
    <mergeCell ref="AJ197:AJ198"/>
    <mergeCell ref="AJ199:AJ200"/>
    <mergeCell ref="AJ201:AJ202"/>
    <mergeCell ref="AJ203:AJ204"/>
    <mergeCell ref="AJ205:AJ206"/>
    <mergeCell ref="AJ207:AJ208"/>
    <mergeCell ref="AJ209:AJ210"/>
    <mergeCell ref="AJ211:AJ212"/>
    <mergeCell ref="AJ213:AJ214"/>
    <mergeCell ref="AJ215:AJ216"/>
    <mergeCell ref="AJ217:AJ218"/>
    <mergeCell ref="AJ219:AJ220"/>
    <mergeCell ref="AJ221:AJ222"/>
    <mergeCell ref="AJ223:AJ224"/>
    <mergeCell ref="AJ225:AJ226"/>
    <mergeCell ref="AJ227:AJ228"/>
    <mergeCell ref="AJ229:AJ230"/>
    <mergeCell ref="AJ231:AJ232"/>
    <mergeCell ref="AJ233:AJ234"/>
    <mergeCell ref="AJ235:AJ236"/>
    <mergeCell ref="AJ237:AJ238"/>
    <mergeCell ref="AJ239:AJ240"/>
    <mergeCell ref="AJ241:AJ242"/>
    <mergeCell ref="AJ243:AJ244"/>
    <mergeCell ref="AJ245:AJ246"/>
    <mergeCell ref="AJ247:AJ248"/>
    <mergeCell ref="AJ249:AJ250"/>
    <mergeCell ref="AJ251:AJ252"/>
    <mergeCell ref="AJ253:AJ254"/>
    <mergeCell ref="AJ255:AJ256"/>
    <mergeCell ref="AJ257:AJ258"/>
    <mergeCell ref="AJ259:AJ260"/>
    <mergeCell ref="AJ261:AJ262"/>
    <mergeCell ref="AJ263:AJ264"/>
    <mergeCell ref="AJ265:AJ266"/>
    <mergeCell ref="AJ267:AJ268"/>
    <mergeCell ref="AJ269:AJ270"/>
    <mergeCell ref="AJ271:AJ272"/>
    <mergeCell ref="AJ273:AJ274"/>
    <mergeCell ref="AJ275:AJ276"/>
    <mergeCell ref="AJ277:AJ278"/>
    <mergeCell ref="AJ279:AJ280"/>
    <mergeCell ref="AJ281:AJ282"/>
    <mergeCell ref="AJ283:AJ284"/>
    <mergeCell ref="AJ285:AJ286"/>
    <mergeCell ref="AJ287:AJ288"/>
    <mergeCell ref="AJ289:AJ290"/>
    <mergeCell ref="AJ291:AJ292"/>
    <mergeCell ref="AJ293:AJ294"/>
    <mergeCell ref="AJ295:AJ296"/>
    <mergeCell ref="AJ297:AJ298"/>
    <mergeCell ref="AJ299:AJ300"/>
    <mergeCell ref="AJ301:AJ302"/>
    <mergeCell ref="AJ303:AJ304"/>
    <mergeCell ref="AJ305:AJ306"/>
    <mergeCell ref="AJ307:AJ308"/>
    <mergeCell ref="AJ309:AJ310"/>
    <mergeCell ref="AJ311:AJ312"/>
    <mergeCell ref="AJ313:AJ314"/>
    <mergeCell ref="AJ315:AJ316"/>
    <mergeCell ref="AJ317:AJ318"/>
    <mergeCell ref="AJ319:AJ320"/>
    <mergeCell ref="AJ321:AJ322"/>
    <mergeCell ref="AJ323:AJ324"/>
    <mergeCell ref="AJ325:AJ326"/>
    <mergeCell ref="AJ327:AJ328"/>
    <mergeCell ref="AJ329:AJ330"/>
    <mergeCell ref="AJ331:AJ332"/>
    <mergeCell ref="AJ333:AJ334"/>
    <mergeCell ref="AJ335:AJ336"/>
    <mergeCell ref="AJ337:AJ338"/>
    <mergeCell ref="AJ339:AJ340"/>
    <mergeCell ref="AJ341:AJ342"/>
    <mergeCell ref="AJ343:AJ344"/>
    <mergeCell ref="AJ345:AJ346"/>
    <mergeCell ref="AJ347:AJ348"/>
    <mergeCell ref="AJ349:AJ350"/>
    <mergeCell ref="AJ351:AJ352"/>
    <mergeCell ref="AJ353:AJ354"/>
    <mergeCell ref="AJ355:AJ356"/>
    <mergeCell ref="AJ357:AJ358"/>
    <mergeCell ref="AJ359:AJ360"/>
    <mergeCell ref="AJ361:AJ362"/>
    <mergeCell ref="AJ363:AJ364"/>
    <mergeCell ref="AJ365:AJ366"/>
    <mergeCell ref="AJ367:AJ368"/>
    <mergeCell ref="AJ369:AJ370"/>
    <mergeCell ref="AJ371:AJ372"/>
    <mergeCell ref="AJ373:AJ374"/>
    <mergeCell ref="AJ375:AJ376"/>
    <mergeCell ref="AJ377:AJ378"/>
    <mergeCell ref="AJ379:AJ380"/>
    <mergeCell ref="AJ381:AJ382"/>
    <mergeCell ref="AJ383:AJ384"/>
    <mergeCell ref="AJ385:AJ386"/>
    <mergeCell ref="AK3:AK4"/>
    <mergeCell ref="AK5:AK6"/>
    <mergeCell ref="AK7:AK8"/>
    <mergeCell ref="AK9:AK10"/>
    <mergeCell ref="AK11:AK12"/>
    <mergeCell ref="AK13:AK14"/>
    <mergeCell ref="AK15:AK16"/>
    <mergeCell ref="AK17:AK18"/>
    <mergeCell ref="AK19:AK20"/>
    <mergeCell ref="AK21:AK22"/>
    <mergeCell ref="AK23:AK24"/>
    <mergeCell ref="AK25:AK26"/>
    <mergeCell ref="AK27:AK28"/>
    <mergeCell ref="AK29:AK30"/>
    <mergeCell ref="AK31:AK32"/>
    <mergeCell ref="AK33:AK34"/>
    <mergeCell ref="AK35:AK36"/>
    <mergeCell ref="AK37:AK38"/>
    <mergeCell ref="AK39:AK40"/>
    <mergeCell ref="AK41:AK42"/>
    <mergeCell ref="AK43:AK44"/>
    <mergeCell ref="AK45:AK46"/>
    <mergeCell ref="AK47:AK48"/>
    <mergeCell ref="AK49:AK50"/>
    <mergeCell ref="AK51:AK52"/>
    <mergeCell ref="AK53:AK54"/>
    <mergeCell ref="AK55:AK56"/>
    <mergeCell ref="AK57:AK58"/>
    <mergeCell ref="AK59:AK60"/>
    <mergeCell ref="AK61:AK62"/>
    <mergeCell ref="AK63:AK64"/>
    <mergeCell ref="AK65:AK66"/>
    <mergeCell ref="AK67:AK68"/>
    <mergeCell ref="AK69:AK70"/>
    <mergeCell ref="AK71:AK72"/>
    <mergeCell ref="AK73:AK74"/>
    <mergeCell ref="AK75:AK76"/>
    <mergeCell ref="AK77:AK78"/>
    <mergeCell ref="AK79:AK80"/>
    <mergeCell ref="AK81:AK82"/>
    <mergeCell ref="AK83:AK84"/>
    <mergeCell ref="AK85:AK86"/>
    <mergeCell ref="AK87:AK88"/>
    <mergeCell ref="AK89:AK90"/>
    <mergeCell ref="AK91:AK92"/>
    <mergeCell ref="AK93:AK94"/>
    <mergeCell ref="AK95:AK96"/>
    <mergeCell ref="AK97:AK98"/>
    <mergeCell ref="AK99:AK100"/>
    <mergeCell ref="AK101:AK102"/>
    <mergeCell ref="AK103:AK104"/>
    <mergeCell ref="AK105:AK106"/>
    <mergeCell ref="AK107:AK108"/>
    <mergeCell ref="AK109:AK110"/>
    <mergeCell ref="AK111:AK112"/>
    <mergeCell ref="AK113:AK114"/>
    <mergeCell ref="AK115:AK116"/>
    <mergeCell ref="AK117:AK118"/>
    <mergeCell ref="AK119:AK120"/>
    <mergeCell ref="AK121:AK122"/>
    <mergeCell ref="AK123:AK124"/>
    <mergeCell ref="AK125:AK126"/>
    <mergeCell ref="AK127:AK128"/>
    <mergeCell ref="AK129:AK130"/>
    <mergeCell ref="AK131:AK132"/>
    <mergeCell ref="AK133:AK134"/>
    <mergeCell ref="AK135:AK136"/>
    <mergeCell ref="AK137:AK138"/>
    <mergeCell ref="AK139:AK140"/>
    <mergeCell ref="AK141:AK142"/>
    <mergeCell ref="AK143:AK144"/>
    <mergeCell ref="AK145:AK146"/>
    <mergeCell ref="AK147:AK148"/>
    <mergeCell ref="AK149:AK150"/>
    <mergeCell ref="AK151:AK152"/>
    <mergeCell ref="AK153:AK154"/>
    <mergeCell ref="AK155:AK156"/>
    <mergeCell ref="AK157:AK158"/>
    <mergeCell ref="AK159:AK160"/>
    <mergeCell ref="AK161:AK162"/>
    <mergeCell ref="AK163:AK164"/>
    <mergeCell ref="AK165:AK166"/>
    <mergeCell ref="AK167:AK168"/>
    <mergeCell ref="AK169:AK170"/>
    <mergeCell ref="AK171:AK172"/>
    <mergeCell ref="AK173:AK174"/>
    <mergeCell ref="AK175:AK176"/>
    <mergeCell ref="AK177:AK178"/>
    <mergeCell ref="AK179:AK180"/>
    <mergeCell ref="AK181:AK182"/>
    <mergeCell ref="AK183:AK184"/>
    <mergeCell ref="AK185:AK186"/>
    <mergeCell ref="AK187:AK188"/>
    <mergeCell ref="AK189:AK190"/>
    <mergeCell ref="AK191:AK192"/>
    <mergeCell ref="AK193:AK194"/>
    <mergeCell ref="AK195:AK196"/>
    <mergeCell ref="AK197:AK198"/>
    <mergeCell ref="AK199:AK200"/>
    <mergeCell ref="AK201:AK202"/>
    <mergeCell ref="AK203:AK204"/>
    <mergeCell ref="AK205:AK206"/>
    <mergeCell ref="AK207:AK208"/>
    <mergeCell ref="AK209:AK210"/>
    <mergeCell ref="AK211:AK212"/>
    <mergeCell ref="AK213:AK214"/>
    <mergeCell ref="AK215:AK216"/>
    <mergeCell ref="AK217:AK218"/>
    <mergeCell ref="AK219:AK220"/>
    <mergeCell ref="AK221:AK222"/>
    <mergeCell ref="AK223:AK224"/>
    <mergeCell ref="AK225:AK226"/>
    <mergeCell ref="AK227:AK228"/>
    <mergeCell ref="AK229:AK230"/>
    <mergeCell ref="AK231:AK232"/>
    <mergeCell ref="AK233:AK234"/>
    <mergeCell ref="AK235:AK236"/>
    <mergeCell ref="AK237:AK238"/>
    <mergeCell ref="AK239:AK240"/>
    <mergeCell ref="AK241:AK242"/>
    <mergeCell ref="AK243:AK244"/>
    <mergeCell ref="AK245:AK246"/>
    <mergeCell ref="AK247:AK248"/>
    <mergeCell ref="AK249:AK250"/>
    <mergeCell ref="AK251:AK252"/>
    <mergeCell ref="AK253:AK254"/>
    <mergeCell ref="AK255:AK256"/>
    <mergeCell ref="AK257:AK258"/>
    <mergeCell ref="AK259:AK260"/>
    <mergeCell ref="AK261:AK262"/>
    <mergeCell ref="AK263:AK264"/>
    <mergeCell ref="AK265:AK266"/>
    <mergeCell ref="AK267:AK268"/>
    <mergeCell ref="AK269:AK270"/>
    <mergeCell ref="AK271:AK272"/>
    <mergeCell ref="AK273:AK274"/>
    <mergeCell ref="AK275:AK276"/>
    <mergeCell ref="AK277:AK278"/>
    <mergeCell ref="AK279:AK280"/>
    <mergeCell ref="AK281:AK282"/>
    <mergeCell ref="AK283:AK284"/>
    <mergeCell ref="AK285:AK286"/>
    <mergeCell ref="AK287:AK288"/>
    <mergeCell ref="AK289:AK290"/>
    <mergeCell ref="AK291:AK292"/>
    <mergeCell ref="AK293:AK294"/>
    <mergeCell ref="AK295:AK296"/>
    <mergeCell ref="AK297:AK298"/>
    <mergeCell ref="AK299:AK300"/>
    <mergeCell ref="AK301:AK302"/>
    <mergeCell ref="AK303:AK304"/>
    <mergeCell ref="AK305:AK306"/>
    <mergeCell ref="AK307:AK308"/>
    <mergeCell ref="AK309:AK310"/>
    <mergeCell ref="AK311:AK312"/>
    <mergeCell ref="AK313:AK314"/>
    <mergeCell ref="AK315:AK316"/>
    <mergeCell ref="AK317:AK318"/>
    <mergeCell ref="AK319:AK320"/>
    <mergeCell ref="AK321:AK322"/>
    <mergeCell ref="AK323:AK324"/>
    <mergeCell ref="AK325:AK326"/>
    <mergeCell ref="AK327:AK328"/>
    <mergeCell ref="AK329:AK330"/>
    <mergeCell ref="AK331:AK332"/>
    <mergeCell ref="AK333:AK334"/>
    <mergeCell ref="AK335:AK336"/>
    <mergeCell ref="AK337:AK338"/>
    <mergeCell ref="AK339:AK340"/>
    <mergeCell ref="AK341:AK342"/>
    <mergeCell ref="AK343:AK344"/>
    <mergeCell ref="AK345:AK346"/>
    <mergeCell ref="AK347:AK348"/>
    <mergeCell ref="AK349:AK350"/>
    <mergeCell ref="AK351:AK352"/>
    <mergeCell ref="AK353:AK354"/>
    <mergeCell ref="AK355:AK356"/>
    <mergeCell ref="AK357:AK358"/>
    <mergeCell ref="AK359:AK360"/>
    <mergeCell ref="AK361:AK362"/>
    <mergeCell ref="AK363:AK364"/>
    <mergeCell ref="AK365:AK366"/>
    <mergeCell ref="AK367:AK368"/>
    <mergeCell ref="AK369:AK370"/>
    <mergeCell ref="AK371:AK372"/>
    <mergeCell ref="AK373:AK374"/>
    <mergeCell ref="AK375:AK376"/>
    <mergeCell ref="AK377:AK378"/>
    <mergeCell ref="AK379:AK380"/>
    <mergeCell ref="AK381:AK382"/>
    <mergeCell ref="AK383:AK384"/>
    <mergeCell ref="AK385:AK386"/>
    <mergeCell ref="AL3:AL4"/>
    <mergeCell ref="AL5:AL6"/>
    <mergeCell ref="AL7:AL8"/>
    <mergeCell ref="AL9:AL10"/>
    <mergeCell ref="AL11:AL12"/>
    <mergeCell ref="AL13:AL14"/>
    <mergeCell ref="AL15:AL16"/>
    <mergeCell ref="AL17:AL18"/>
    <mergeCell ref="AL19:AL20"/>
    <mergeCell ref="AL21:AL22"/>
    <mergeCell ref="AL23:AL24"/>
    <mergeCell ref="AL25:AL26"/>
    <mergeCell ref="AL27:AL28"/>
    <mergeCell ref="AL29:AL30"/>
    <mergeCell ref="AL31:AL32"/>
    <mergeCell ref="AL33:AL34"/>
    <mergeCell ref="AL35:AL36"/>
    <mergeCell ref="AL37:AL38"/>
    <mergeCell ref="AL39:AL40"/>
    <mergeCell ref="AL41:AL42"/>
    <mergeCell ref="AL43:AL44"/>
    <mergeCell ref="AL45:AL46"/>
    <mergeCell ref="AL47:AL48"/>
    <mergeCell ref="AL49:AL50"/>
    <mergeCell ref="AL51:AL52"/>
    <mergeCell ref="AL53:AL54"/>
    <mergeCell ref="AL55:AL56"/>
    <mergeCell ref="AL57:AL58"/>
    <mergeCell ref="AL59:AL60"/>
    <mergeCell ref="AL61:AL62"/>
    <mergeCell ref="AL63:AL64"/>
    <mergeCell ref="AL65:AL66"/>
    <mergeCell ref="AL67:AL68"/>
    <mergeCell ref="AL69:AL70"/>
    <mergeCell ref="AL71:AL72"/>
    <mergeCell ref="AL73:AL74"/>
    <mergeCell ref="AL75:AL76"/>
    <mergeCell ref="AL77:AL78"/>
    <mergeCell ref="AL79:AL80"/>
    <mergeCell ref="AL81:AL82"/>
    <mergeCell ref="AL83:AL84"/>
    <mergeCell ref="AL85:AL86"/>
    <mergeCell ref="AL87:AL88"/>
    <mergeCell ref="AL89:AL90"/>
    <mergeCell ref="AL91:AL92"/>
    <mergeCell ref="AL93:AL94"/>
    <mergeCell ref="AL95:AL96"/>
    <mergeCell ref="AL97:AL98"/>
    <mergeCell ref="AL99:AL100"/>
    <mergeCell ref="AL101:AL102"/>
    <mergeCell ref="AL103:AL104"/>
    <mergeCell ref="AL105:AL106"/>
    <mergeCell ref="AL107:AL108"/>
    <mergeCell ref="AL109:AL110"/>
    <mergeCell ref="AL111:AL112"/>
    <mergeCell ref="AL113:AL114"/>
    <mergeCell ref="AL115:AL116"/>
    <mergeCell ref="AL117:AL118"/>
    <mergeCell ref="AL119:AL120"/>
    <mergeCell ref="AL121:AL122"/>
    <mergeCell ref="AL123:AL124"/>
    <mergeCell ref="AL125:AL126"/>
    <mergeCell ref="AL127:AL128"/>
    <mergeCell ref="AL129:AL130"/>
    <mergeCell ref="AL131:AL132"/>
    <mergeCell ref="AL133:AL134"/>
    <mergeCell ref="AL135:AL136"/>
    <mergeCell ref="AL137:AL138"/>
    <mergeCell ref="AL139:AL140"/>
    <mergeCell ref="AL141:AL142"/>
    <mergeCell ref="AL143:AL144"/>
    <mergeCell ref="AL145:AL146"/>
    <mergeCell ref="AL147:AL148"/>
    <mergeCell ref="AL149:AL150"/>
    <mergeCell ref="AL151:AL152"/>
    <mergeCell ref="AL153:AL154"/>
    <mergeCell ref="AL155:AL156"/>
    <mergeCell ref="AL157:AL158"/>
    <mergeCell ref="AL159:AL160"/>
    <mergeCell ref="AL161:AL162"/>
    <mergeCell ref="AL163:AL164"/>
    <mergeCell ref="AL165:AL166"/>
    <mergeCell ref="AL167:AL168"/>
    <mergeCell ref="AL169:AL170"/>
    <mergeCell ref="AL171:AL172"/>
    <mergeCell ref="AL173:AL174"/>
    <mergeCell ref="AL175:AL176"/>
    <mergeCell ref="AL177:AL178"/>
    <mergeCell ref="AL179:AL180"/>
    <mergeCell ref="AL181:AL182"/>
    <mergeCell ref="AL183:AL184"/>
    <mergeCell ref="AL185:AL186"/>
    <mergeCell ref="AL187:AL188"/>
    <mergeCell ref="AL189:AL190"/>
    <mergeCell ref="AL191:AL192"/>
    <mergeCell ref="AL193:AL194"/>
    <mergeCell ref="AL195:AL196"/>
    <mergeCell ref="AL197:AL198"/>
    <mergeCell ref="AL199:AL200"/>
    <mergeCell ref="AL201:AL202"/>
    <mergeCell ref="AL203:AL204"/>
    <mergeCell ref="AL205:AL206"/>
    <mergeCell ref="AL207:AL208"/>
    <mergeCell ref="AL209:AL210"/>
    <mergeCell ref="AL211:AL212"/>
    <mergeCell ref="AL213:AL214"/>
    <mergeCell ref="AL215:AL216"/>
    <mergeCell ref="AL217:AL218"/>
    <mergeCell ref="AL219:AL220"/>
    <mergeCell ref="AL221:AL222"/>
    <mergeCell ref="AL223:AL224"/>
    <mergeCell ref="AL225:AL226"/>
    <mergeCell ref="AL227:AL228"/>
    <mergeCell ref="AL229:AL230"/>
    <mergeCell ref="AL231:AL232"/>
    <mergeCell ref="AL233:AL234"/>
    <mergeCell ref="AL235:AL236"/>
    <mergeCell ref="AL237:AL238"/>
    <mergeCell ref="AL239:AL240"/>
    <mergeCell ref="AL241:AL242"/>
    <mergeCell ref="AL243:AL244"/>
    <mergeCell ref="AL245:AL246"/>
    <mergeCell ref="AL247:AL248"/>
    <mergeCell ref="AL249:AL250"/>
    <mergeCell ref="AL251:AL252"/>
    <mergeCell ref="AL253:AL254"/>
    <mergeCell ref="AL255:AL256"/>
    <mergeCell ref="AL257:AL258"/>
    <mergeCell ref="AL259:AL260"/>
    <mergeCell ref="AL261:AL262"/>
    <mergeCell ref="AL263:AL264"/>
    <mergeCell ref="AL265:AL266"/>
    <mergeCell ref="AL267:AL268"/>
    <mergeCell ref="AL269:AL270"/>
    <mergeCell ref="AL271:AL272"/>
    <mergeCell ref="AL273:AL274"/>
    <mergeCell ref="AL275:AL276"/>
    <mergeCell ref="AL277:AL278"/>
    <mergeCell ref="AL279:AL280"/>
    <mergeCell ref="AL281:AL282"/>
    <mergeCell ref="AL283:AL284"/>
    <mergeCell ref="AL285:AL286"/>
    <mergeCell ref="AL287:AL288"/>
    <mergeCell ref="AL289:AL290"/>
    <mergeCell ref="AL291:AL292"/>
    <mergeCell ref="AL293:AL294"/>
    <mergeCell ref="AL295:AL296"/>
    <mergeCell ref="AL297:AL298"/>
    <mergeCell ref="AL299:AL300"/>
    <mergeCell ref="AL301:AL302"/>
    <mergeCell ref="AL303:AL304"/>
    <mergeCell ref="AL305:AL306"/>
    <mergeCell ref="AL307:AL308"/>
    <mergeCell ref="AL309:AL310"/>
    <mergeCell ref="AL311:AL312"/>
    <mergeCell ref="AL313:AL314"/>
    <mergeCell ref="AL315:AL316"/>
    <mergeCell ref="AL317:AL318"/>
    <mergeCell ref="AL319:AL320"/>
    <mergeCell ref="AL321:AL322"/>
    <mergeCell ref="AL323:AL324"/>
    <mergeCell ref="AL325:AL326"/>
    <mergeCell ref="AL327:AL328"/>
    <mergeCell ref="AL329:AL330"/>
    <mergeCell ref="AL331:AL332"/>
    <mergeCell ref="AL333:AL334"/>
    <mergeCell ref="AL335:AL336"/>
    <mergeCell ref="AL337:AL338"/>
    <mergeCell ref="AL339:AL340"/>
    <mergeCell ref="AL341:AL342"/>
    <mergeCell ref="AL343:AL344"/>
    <mergeCell ref="AL345:AL346"/>
    <mergeCell ref="AL347:AL348"/>
    <mergeCell ref="AL349:AL350"/>
    <mergeCell ref="AL351:AL352"/>
    <mergeCell ref="AL353:AL354"/>
    <mergeCell ref="AL355:AL356"/>
    <mergeCell ref="AL357:AL358"/>
    <mergeCell ref="AL359:AL360"/>
    <mergeCell ref="AL361:AL362"/>
    <mergeCell ref="AL363:AL364"/>
    <mergeCell ref="AL365:AL366"/>
    <mergeCell ref="AL367:AL368"/>
    <mergeCell ref="AL369:AL370"/>
    <mergeCell ref="AL371:AL372"/>
    <mergeCell ref="AL373:AL374"/>
    <mergeCell ref="AL375:AL376"/>
    <mergeCell ref="AL377:AL378"/>
    <mergeCell ref="AL379:AL380"/>
    <mergeCell ref="AL381:AL382"/>
    <mergeCell ref="AL383:AL384"/>
    <mergeCell ref="AL385:AL386"/>
    <mergeCell ref="AM3:AM4"/>
    <mergeCell ref="AM5:AM6"/>
    <mergeCell ref="AM7:AM8"/>
    <mergeCell ref="AM9:AM10"/>
    <mergeCell ref="AM11:AM12"/>
    <mergeCell ref="AM13:AM14"/>
    <mergeCell ref="AM15:AM16"/>
    <mergeCell ref="AM17:AM18"/>
    <mergeCell ref="AM19:AM20"/>
    <mergeCell ref="AM21:AM22"/>
    <mergeCell ref="AM23:AM24"/>
    <mergeCell ref="AM25:AM26"/>
    <mergeCell ref="AM27:AM28"/>
    <mergeCell ref="AM29:AM30"/>
    <mergeCell ref="AM31:AM32"/>
    <mergeCell ref="AM33:AM34"/>
    <mergeCell ref="AM35:AM36"/>
    <mergeCell ref="AM37:AM38"/>
    <mergeCell ref="AM39:AM40"/>
    <mergeCell ref="AM41:AM42"/>
    <mergeCell ref="AM43:AM44"/>
    <mergeCell ref="AM45:AM46"/>
    <mergeCell ref="AM47:AM48"/>
    <mergeCell ref="AM49:AM50"/>
    <mergeCell ref="AM51:AM52"/>
    <mergeCell ref="AM53:AM54"/>
    <mergeCell ref="AM55:AM56"/>
    <mergeCell ref="AM57:AM58"/>
    <mergeCell ref="AM59:AM60"/>
    <mergeCell ref="AM61:AM62"/>
    <mergeCell ref="AM63:AM64"/>
    <mergeCell ref="AM65:AM66"/>
    <mergeCell ref="AM67:AM68"/>
    <mergeCell ref="AM69:AM70"/>
    <mergeCell ref="AM71:AM72"/>
    <mergeCell ref="AM73:AM74"/>
    <mergeCell ref="AM75:AM76"/>
    <mergeCell ref="AM77:AM78"/>
    <mergeCell ref="AM79:AM80"/>
    <mergeCell ref="AM81:AM82"/>
    <mergeCell ref="AM83:AM84"/>
    <mergeCell ref="AM85:AM86"/>
    <mergeCell ref="AM87:AM88"/>
    <mergeCell ref="AM89:AM90"/>
    <mergeCell ref="AM91:AM92"/>
    <mergeCell ref="AM93:AM94"/>
    <mergeCell ref="AM95:AM96"/>
    <mergeCell ref="AM97:AM98"/>
    <mergeCell ref="AM99:AM100"/>
    <mergeCell ref="AM101:AM102"/>
    <mergeCell ref="AM103:AM104"/>
    <mergeCell ref="AM105:AM106"/>
    <mergeCell ref="AM107:AM108"/>
    <mergeCell ref="AM109:AM110"/>
    <mergeCell ref="AM111:AM112"/>
    <mergeCell ref="AM113:AM114"/>
    <mergeCell ref="AM115:AM116"/>
    <mergeCell ref="AM117:AM118"/>
    <mergeCell ref="AM119:AM120"/>
    <mergeCell ref="AM121:AM122"/>
    <mergeCell ref="AM123:AM124"/>
    <mergeCell ref="AM125:AM126"/>
    <mergeCell ref="AM127:AM128"/>
    <mergeCell ref="AM129:AM130"/>
    <mergeCell ref="AM131:AM132"/>
    <mergeCell ref="AM133:AM134"/>
    <mergeCell ref="AM135:AM136"/>
    <mergeCell ref="AM137:AM138"/>
    <mergeCell ref="AM139:AM140"/>
    <mergeCell ref="AM141:AM142"/>
    <mergeCell ref="AM143:AM144"/>
    <mergeCell ref="AM145:AM146"/>
    <mergeCell ref="AM147:AM148"/>
    <mergeCell ref="AM149:AM150"/>
    <mergeCell ref="AM151:AM152"/>
    <mergeCell ref="AM153:AM154"/>
    <mergeCell ref="AM155:AM156"/>
    <mergeCell ref="AM157:AM158"/>
    <mergeCell ref="AM159:AM160"/>
    <mergeCell ref="AM161:AM162"/>
    <mergeCell ref="AM163:AM164"/>
    <mergeCell ref="AM165:AM166"/>
    <mergeCell ref="AM167:AM168"/>
    <mergeCell ref="AM169:AM170"/>
    <mergeCell ref="AM171:AM172"/>
    <mergeCell ref="AM173:AM174"/>
    <mergeCell ref="AM175:AM176"/>
    <mergeCell ref="AM177:AM178"/>
    <mergeCell ref="AM179:AM180"/>
    <mergeCell ref="AM181:AM182"/>
    <mergeCell ref="AM183:AM184"/>
    <mergeCell ref="AM185:AM186"/>
    <mergeCell ref="AM187:AM188"/>
    <mergeCell ref="AM189:AM190"/>
    <mergeCell ref="AM191:AM192"/>
    <mergeCell ref="AM193:AM194"/>
    <mergeCell ref="AM195:AM196"/>
    <mergeCell ref="AM197:AM198"/>
    <mergeCell ref="AM199:AM200"/>
    <mergeCell ref="AM201:AM202"/>
    <mergeCell ref="AM203:AM204"/>
    <mergeCell ref="AM205:AM206"/>
    <mergeCell ref="AM207:AM208"/>
    <mergeCell ref="AM209:AM210"/>
    <mergeCell ref="AM211:AM212"/>
    <mergeCell ref="AM213:AM214"/>
    <mergeCell ref="AM215:AM216"/>
    <mergeCell ref="AM217:AM218"/>
    <mergeCell ref="AM219:AM220"/>
    <mergeCell ref="AM221:AM222"/>
    <mergeCell ref="AM223:AM224"/>
    <mergeCell ref="AM225:AM226"/>
    <mergeCell ref="AM227:AM228"/>
    <mergeCell ref="AM229:AM230"/>
    <mergeCell ref="AM231:AM232"/>
    <mergeCell ref="AM233:AM234"/>
    <mergeCell ref="AM235:AM236"/>
    <mergeCell ref="AM237:AM238"/>
    <mergeCell ref="AM239:AM240"/>
    <mergeCell ref="AM241:AM242"/>
    <mergeCell ref="AM243:AM244"/>
    <mergeCell ref="AM245:AM246"/>
    <mergeCell ref="AM247:AM248"/>
    <mergeCell ref="AM249:AM250"/>
    <mergeCell ref="AM251:AM252"/>
    <mergeCell ref="AM253:AM254"/>
    <mergeCell ref="AM255:AM256"/>
    <mergeCell ref="AM257:AM258"/>
    <mergeCell ref="AM259:AM260"/>
    <mergeCell ref="AM261:AM262"/>
    <mergeCell ref="AM263:AM264"/>
    <mergeCell ref="AM265:AM266"/>
    <mergeCell ref="AM267:AM268"/>
    <mergeCell ref="AM269:AM270"/>
    <mergeCell ref="AM271:AM272"/>
    <mergeCell ref="AM273:AM274"/>
    <mergeCell ref="AM275:AM276"/>
    <mergeCell ref="AM277:AM278"/>
    <mergeCell ref="AM279:AM280"/>
    <mergeCell ref="AM281:AM282"/>
    <mergeCell ref="AM283:AM284"/>
    <mergeCell ref="AM285:AM286"/>
    <mergeCell ref="AM287:AM288"/>
    <mergeCell ref="AM289:AM290"/>
    <mergeCell ref="AM291:AM292"/>
    <mergeCell ref="AM293:AM294"/>
    <mergeCell ref="AM295:AM296"/>
    <mergeCell ref="AM297:AM298"/>
    <mergeCell ref="AM299:AM300"/>
    <mergeCell ref="AM301:AM302"/>
    <mergeCell ref="AM303:AM304"/>
    <mergeCell ref="AM305:AM306"/>
    <mergeCell ref="AM307:AM308"/>
    <mergeCell ref="AM309:AM310"/>
    <mergeCell ref="AM311:AM312"/>
    <mergeCell ref="AM313:AM314"/>
    <mergeCell ref="AM315:AM316"/>
    <mergeCell ref="AM317:AM318"/>
    <mergeCell ref="AM319:AM320"/>
    <mergeCell ref="AM321:AM322"/>
    <mergeCell ref="AM323:AM324"/>
    <mergeCell ref="AM325:AM326"/>
    <mergeCell ref="AM327:AM328"/>
    <mergeCell ref="AM329:AM330"/>
    <mergeCell ref="AM331:AM332"/>
    <mergeCell ref="AM333:AM334"/>
    <mergeCell ref="AM335:AM336"/>
    <mergeCell ref="AM337:AM338"/>
    <mergeCell ref="AM339:AM340"/>
    <mergeCell ref="AM341:AM342"/>
    <mergeCell ref="AM343:AM344"/>
    <mergeCell ref="AM345:AM346"/>
    <mergeCell ref="AM347:AM348"/>
    <mergeCell ref="AM349:AM350"/>
    <mergeCell ref="AM351:AM352"/>
    <mergeCell ref="AM353:AM354"/>
    <mergeCell ref="AM355:AM356"/>
    <mergeCell ref="AM357:AM358"/>
    <mergeCell ref="AM359:AM360"/>
    <mergeCell ref="AM361:AM362"/>
    <mergeCell ref="AM363:AM364"/>
    <mergeCell ref="AM365:AM366"/>
    <mergeCell ref="AM367:AM368"/>
    <mergeCell ref="AM369:AM370"/>
    <mergeCell ref="AM371:AM372"/>
    <mergeCell ref="AM373:AM374"/>
    <mergeCell ref="AM375:AM376"/>
    <mergeCell ref="AM377:AM378"/>
    <mergeCell ref="AM379:AM380"/>
    <mergeCell ref="AM381:AM382"/>
    <mergeCell ref="AM383:AM384"/>
    <mergeCell ref="AM385:AM386"/>
    <mergeCell ref="AN3:AN4"/>
    <mergeCell ref="AN5:AN6"/>
    <mergeCell ref="AN7:AN8"/>
    <mergeCell ref="AN9:AN10"/>
    <mergeCell ref="AN11:AN12"/>
    <mergeCell ref="AN13:AN14"/>
    <mergeCell ref="AN15:AN16"/>
    <mergeCell ref="AN17:AN18"/>
    <mergeCell ref="AN19:AN20"/>
    <mergeCell ref="AN21:AN22"/>
    <mergeCell ref="AN23:AN24"/>
    <mergeCell ref="AN25:AN26"/>
    <mergeCell ref="AN27:AN28"/>
    <mergeCell ref="AN29:AN30"/>
    <mergeCell ref="AN31:AN32"/>
    <mergeCell ref="AN33:AN34"/>
    <mergeCell ref="AN35:AN36"/>
    <mergeCell ref="AN37:AN38"/>
    <mergeCell ref="AN39:AN40"/>
    <mergeCell ref="AN41:AN42"/>
    <mergeCell ref="AN43:AN44"/>
    <mergeCell ref="AN45:AN46"/>
    <mergeCell ref="AN47:AN48"/>
    <mergeCell ref="AN49:AN50"/>
    <mergeCell ref="AN51:AN52"/>
    <mergeCell ref="AN53:AN54"/>
    <mergeCell ref="AN55:AN56"/>
    <mergeCell ref="AN57:AN58"/>
    <mergeCell ref="AN59:AN60"/>
    <mergeCell ref="AN61:AN62"/>
    <mergeCell ref="AN63:AN64"/>
    <mergeCell ref="AN65:AN66"/>
    <mergeCell ref="AN67:AN68"/>
    <mergeCell ref="AN69:AN70"/>
    <mergeCell ref="AN71:AN72"/>
    <mergeCell ref="AN73:AN74"/>
    <mergeCell ref="AN75:AN76"/>
    <mergeCell ref="AN77:AN78"/>
    <mergeCell ref="AN79:AN80"/>
    <mergeCell ref="AN81:AN82"/>
    <mergeCell ref="AN83:AN84"/>
    <mergeCell ref="AN85:AN86"/>
    <mergeCell ref="AN87:AN88"/>
    <mergeCell ref="AN89:AN90"/>
    <mergeCell ref="AN91:AN92"/>
    <mergeCell ref="AN93:AN94"/>
    <mergeCell ref="AN95:AN96"/>
    <mergeCell ref="AN97:AN98"/>
    <mergeCell ref="AN99:AN100"/>
    <mergeCell ref="AN101:AN102"/>
    <mergeCell ref="AN103:AN104"/>
    <mergeCell ref="AN105:AN106"/>
    <mergeCell ref="AN107:AN108"/>
    <mergeCell ref="AN109:AN110"/>
    <mergeCell ref="AN111:AN112"/>
    <mergeCell ref="AN113:AN114"/>
    <mergeCell ref="AN115:AN116"/>
    <mergeCell ref="AN117:AN118"/>
    <mergeCell ref="AN119:AN120"/>
    <mergeCell ref="AN121:AN122"/>
    <mergeCell ref="AN123:AN124"/>
    <mergeCell ref="AN125:AN126"/>
    <mergeCell ref="AN127:AN128"/>
    <mergeCell ref="AN129:AN130"/>
    <mergeCell ref="AN131:AN132"/>
    <mergeCell ref="AN133:AN134"/>
    <mergeCell ref="AN135:AN136"/>
    <mergeCell ref="AN137:AN138"/>
    <mergeCell ref="AN139:AN140"/>
    <mergeCell ref="AN141:AN142"/>
    <mergeCell ref="AN143:AN144"/>
    <mergeCell ref="AN145:AN146"/>
    <mergeCell ref="AN147:AN148"/>
    <mergeCell ref="AN149:AN150"/>
    <mergeCell ref="AN151:AN152"/>
    <mergeCell ref="AN153:AN154"/>
    <mergeCell ref="AN155:AN156"/>
    <mergeCell ref="AN157:AN158"/>
    <mergeCell ref="AN159:AN160"/>
    <mergeCell ref="AN161:AN162"/>
    <mergeCell ref="AN163:AN164"/>
    <mergeCell ref="AN165:AN166"/>
    <mergeCell ref="AN167:AN168"/>
    <mergeCell ref="AN169:AN170"/>
    <mergeCell ref="AN171:AN172"/>
    <mergeCell ref="AN173:AN174"/>
    <mergeCell ref="AN175:AN176"/>
    <mergeCell ref="AN177:AN178"/>
    <mergeCell ref="AN179:AN180"/>
    <mergeCell ref="AN181:AN182"/>
    <mergeCell ref="AN183:AN184"/>
    <mergeCell ref="AN185:AN186"/>
    <mergeCell ref="AN187:AN188"/>
    <mergeCell ref="AN189:AN190"/>
    <mergeCell ref="AN191:AN192"/>
    <mergeCell ref="AN193:AN194"/>
    <mergeCell ref="AN195:AN196"/>
    <mergeCell ref="AN197:AN198"/>
    <mergeCell ref="AN199:AN200"/>
    <mergeCell ref="AN201:AN202"/>
    <mergeCell ref="AN203:AN204"/>
    <mergeCell ref="AN205:AN206"/>
    <mergeCell ref="AN207:AN208"/>
    <mergeCell ref="AN209:AN210"/>
    <mergeCell ref="AN211:AN212"/>
    <mergeCell ref="AN213:AN214"/>
    <mergeCell ref="AN215:AN216"/>
    <mergeCell ref="AN217:AN218"/>
    <mergeCell ref="AN219:AN220"/>
    <mergeCell ref="AN221:AN222"/>
    <mergeCell ref="AN223:AN224"/>
    <mergeCell ref="AN225:AN226"/>
    <mergeCell ref="AN227:AN228"/>
    <mergeCell ref="AN229:AN230"/>
    <mergeCell ref="AN231:AN232"/>
    <mergeCell ref="AN233:AN234"/>
    <mergeCell ref="AN235:AN236"/>
    <mergeCell ref="AN237:AN238"/>
    <mergeCell ref="AN239:AN240"/>
    <mergeCell ref="AN241:AN242"/>
    <mergeCell ref="AN243:AN244"/>
    <mergeCell ref="AN245:AN246"/>
    <mergeCell ref="AN247:AN248"/>
    <mergeCell ref="AN249:AN250"/>
    <mergeCell ref="AN251:AN252"/>
    <mergeCell ref="AN253:AN254"/>
    <mergeCell ref="AN255:AN256"/>
    <mergeCell ref="AN257:AN258"/>
    <mergeCell ref="AN259:AN260"/>
    <mergeCell ref="AN261:AN262"/>
    <mergeCell ref="AN263:AN264"/>
    <mergeCell ref="AN265:AN266"/>
    <mergeCell ref="AN267:AN268"/>
    <mergeCell ref="AN269:AN270"/>
    <mergeCell ref="AN271:AN272"/>
    <mergeCell ref="AN273:AN274"/>
    <mergeCell ref="AN275:AN276"/>
    <mergeCell ref="AN277:AN278"/>
    <mergeCell ref="AN279:AN280"/>
    <mergeCell ref="AN281:AN282"/>
    <mergeCell ref="AN283:AN284"/>
    <mergeCell ref="AN285:AN286"/>
    <mergeCell ref="AN287:AN288"/>
    <mergeCell ref="AN289:AN290"/>
    <mergeCell ref="AN291:AN292"/>
    <mergeCell ref="AN293:AN294"/>
    <mergeCell ref="AN295:AN296"/>
    <mergeCell ref="AN297:AN298"/>
    <mergeCell ref="AN299:AN300"/>
    <mergeCell ref="AN301:AN302"/>
    <mergeCell ref="AN303:AN304"/>
    <mergeCell ref="AN305:AN306"/>
    <mergeCell ref="AN307:AN308"/>
    <mergeCell ref="AN309:AN310"/>
    <mergeCell ref="AN311:AN312"/>
    <mergeCell ref="AN313:AN314"/>
    <mergeCell ref="AN315:AN316"/>
    <mergeCell ref="AN317:AN318"/>
    <mergeCell ref="AN319:AN320"/>
    <mergeCell ref="AN321:AN322"/>
    <mergeCell ref="AN323:AN324"/>
    <mergeCell ref="AN325:AN326"/>
    <mergeCell ref="AN327:AN328"/>
    <mergeCell ref="AN329:AN330"/>
    <mergeCell ref="AN331:AN332"/>
    <mergeCell ref="AN333:AN334"/>
    <mergeCell ref="AN335:AN336"/>
    <mergeCell ref="AN337:AN338"/>
    <mergeCell ref="AN339:AN340"/>
    <mergeCell ref="AN341:AN342"/>
    <mergeCell ref="AN343:AN344"/>
    <mergeCell ref="AN345:AN346"/>
    <mergeCell ref="AN347:AN348"/>
    <mergeCell ref="AN349:AN350"/>
    <mergeCell ref="AN351:AN352"/>
    <mergeCell ref="AN353:AN354"/>
    <mergeCell ref="AN355:AN356"/>
    <mergeCell ref="AN357:AN358"/>
    <mergeCell ref="AN359:AN360"/>
    <mergeCell ref="AN361:AN362"/>
    <mergeCell ref="AN363:AN364"/>
    <mergeCell ref="AN365:AN366"/>
    <mergeCell ref="AN367:AN368"/>
    <mergeCell ref="AN369:AN370"/>
    <mergeCell ref="AN371:AN372"/>
    <mergeCell ref="AN373:AN374"/>
    <mergeCell ref="AN375:AN376"/>
    <mergeCell ref="AN377:AN378"/>
    <mergeCell ref="AN379:AN380"/>
    <mergeCell ref="AN381:AN382"/>
    <mergeCell ref="AN383:AN384"/>
    <mergeCell ref="AN385:AN386"/>
    <mergeCell ref="AO3:AO4"/>
    <mergeCell ref="AO5:AO6"/>
    <mergeCell ref="AO7:AO8"/>
    <mergeCell ref="AO9:AO10"/>
    <mergeCell ref="AO11:AO12"/>
    <mergeCell ref="AO13:AO14"/>
    <mergeCell ref="AO15:AO16"/>
    <mergeCell ref="AO17:AO18"/>
    <mergeCell ref="AO19:AO20"/>
    <mergeCell ref="AO21:AO22"/>
    <mergeCell ref="AO23:AO24"/>
    <mergeCell ref="AO25:AO26"/>
    <mergeCell ref="AO27:AO28"/>
    <mergeCell ref="AO29:AO30"/>
    <mergeCell ref="AO31:AO32"/>
    <mergeCell ref="AO33:AO34"/>
    <mergeCell ref="AO35:AO36"/>
    <mergeCell ref="AO37:AO38"/>
    <mergeCell ref="AO39:AO40"/>
    <mergeCell ref="AO41:AO42"/>
    <mergeCell ref="AO43:AO44"/>
    <mergeCell ref="AO45:AO46"/>
    <mergeCell ref="AO47:AO48"/>
    <mergeCell ref="AO49:AO50"/>
    <mergeCell ref="AO51:AO52"/>
    <mergeCell ref="AO53:AO54"/>
    <mergeCell ref="AO55:AO56"/>
    <mergeCell ref="AO57:AO58"/>
    <mergeCell ref="AO59:AO60"/>
    <mergeCell ref="AO61:AO62"/>
    <mergeCell ref="AO63:AO64"/>
    <mergeCell ref="AO65:AO66"/>
    <mergeCell ref="AO67:AO68"/>
    <mergeCell ref="AO69:AO70"/>
    <mergeCell ref="AO71:AO72"/>
    <mergeCell ref="AO73:AO74"/>
    <mergeCell ref="AO75:AO76"/>
    <mergeCell ref="AO77:AO78"/>
    <mergeCell ref="AO79:AO80"/>
    <mergeCell ref="AO81:AO82"/>
    <mergeCell ref="AO83:AO84"/>
    <mergeCell ref="AO85:AO86"/>
    <mergeCell ref="AO87:AO88"/>
    <mergeCell ref="AO89:AO90"/>
    <mergeCell ref="AO91:AO92"/>
    <mergeCell ref="AO93:AO94"/>
    <mergeCell ref="AO95:AO96"/>
    <mergeCell ref="AO97:AO98"/>
    <mergeCell ref="AO99:AO100"/>
    <mergeCell ref="AO101:AO102"/>
    <mergeCell ref="AO103:AO104"/>
    <mergeCell ref="AO105:AO106"/>
    <mergeCell ref="AO107:AO108"/>
    <mergeCell ref="AO109:AO110"/>
    <mergeCell ref="AO111:AO112"/>
    <mergeCell ref="AO113:AO114"/>
    <mergeCell ref="AO115:AO116"/>
    <mergeCell ref="AO117:AO118"/>
    <mergeCell ref="AO119:AO120"/>
    <mergeCell ref="AO121:AO122"/>
    <mergeCell ref="AO123:AO124"/>
    <mergeCell ref="AO125:AO126"/>
    <mergeCell ref="AO127:AO128"/>
    <mergeCell ref="AO129:AO130"/>
    <mergeCell ref="AO131:AO132"/>
    <mergeCell ref="AO133:AO134"/>
    <mergeCell ref="AO135:AO136"/>
    <mergeCell ref="AO137:AO138"/>
    <mergeCell ref="AO139:AO140"/>
    <mergeCell ref="AO141:AO142"/>
    <mergeCell ref="AO143:AO144"/>
    <mergeCell ref="AO145:AO146"/>
    <mergeCell ref="AO147:AO148"/>
    <mergeCell ref="AO149:AO150"/>
    <mergeCell ref="AO151:AO152"/>
    <mergeCell ref="AO153:AO154"/>
    <mergeCell ref="AO155:AO156"/>
    <mergeCell ref="AO157:AO158"/>
    <mergeCell ref="AO159:AO160"/>
    <mergeCell ref="AO161:AO162"/>
    <mergeCell ref="AO163:AO164"/>
    <mergeCell ref="AO165:AO166"/>
    <mergeCell ref="AO167:AO168"/>
    <mergeCell ref="AO169:AO170"/>
    <mergeCell ref="AO171:AO172"/>
    <mergeCell ref="AO173:AO174"/>
    <mergeCell ref="AO175:AO176"/>
    <mergeCell ref="AO177:AO178"/>
    <mergeCell ref="AO179:AO180"/>
    <mergeCell ref="AO181:AO182"/>
    <mergeCell ref="AO183:AO184"/>
    <mergeCell ref="AO185:AO186"/>
    <mergeCell ref="AO187:AO188"/>
    <mergeCell ref="AO189:AO190"/>
    <mergeCell ref="AO191:AO192"/>
    <mergeCell ref="AO193:AO194"/>
    <mergeCell ref="AO195:AO196"/>
    <mergeCell ref="AO197:AO198"/>
    <mergeCell ref="AO199:AO200"/>
    <mergeCell ref="AO201:AO202"/>
    <mergeCell ref="AO203:AO204"/>
    <mergeCell ref="AO205:AO206"/>
    <mergeCell ref="AO207:AO208"/>
    <mergeCell ref="AO209:AO210"/>
    <mergeCell ref="AO211:AO212"/>
    <mergeCell ref="AO213:AO214"/>
    <mergeCell ref="AO215:AO216"/>
    <mergeCell ref="AO217:AO218"/>
    <mergeCell ref="AO219:AO220"/>
    <mergeCell ref="AO221:AO222"/>
    <mergeCell ref="AO223:AO224"/>
    <mergeCell ref="AO225:AO226"/>
    <mergeCell ref="AO227:AO228"/>
    <mergeCell ref="AO229:AO230"/>
    <mergeCell ref="AO231:AO232"/>
    <mergeCell ref="AO233:AO234"/>
    <mergeCell ref="AO235:AO236"/>
    <mergeCell ref="AO237:AO238"/>
    <mergeCell ref="AO239:AO240"/>
    <mergeCell ref="AO241:AO242"/>
    <mergeCell ref="AO243:AO244"/>
    <mergeCell ref="AO245:AO246"/>
    <mergeCell ref="AO247:AO248"/>
    <mergeCell ref="AO249:AO250"/>
    <mergeCell ref="AO251:AO252"/>
    <mergeCell ref="AO253:AO254"/>
    <mergeCell ref="AO255:AO256"/>
    <mergeCell ref="AO257:AO258"/>
    <mergeCell ref="AO259:AO260"/>
    <mergeCell ref="AO261:AO262"/>
    <mergeCell ref="AO263:AO264"/>
    <mergeCell ref="AO265:AO266"/>
    <mergeCell ref="AO267:AO268"/>
    <mergeCell ref="AO269:AO270"/>
    <mergeCell ref="AO271:AO272"/>
    <mergeCell ref="AO273:AO274"/>
    <mergeCell ref="AO275:AO276"/>
    <mergeCell ref="AO277:AO278"/>
    <mergeCell ref="AO279:AO280"/>
    <mergeCell ref="AO281:AO282"/>
    <mergeCell ref="AO283:AO284"/>
    <mergeCell ref="AO285:AO286"/>
    <mergeCell ref="AO287:AO288"/>
    <mergeCell ref="AO289:AO290"/>
    <mergeCell ref="AO291:AO292"/>
    <mergeCell ref="AO293:AO294"/>
    <mergeCell ref="AO295:AO296"/>
    <mergeCell ref="AO297:AO298"/>
    <mergeCell ref="AO299:AO300"/>
    <mergeCell ref="AO301:AO302"/>
    <mergeCell ref="AO303:AO304"/>
    <mergeCell ref="AO305:AO306"/>
    <mergeCell ref="AO307:AO308"/>
    <mergeCell ref="AO309:AO310"/>
    <mergeCell ref="AO311:AO312"/>
    <mergeCell ref="AO313:AO314"/>
    <mergeCell ref="AO315:AO316"/>
    <mergeCell ref="AO317:AO318"/>
    <mergeCell ref="AO319:AO320"/>
    <mergeCell ref="AO321:AO322"/>
    <mergeCell ref="AO323:AO324"/>
    <mergeCell ref="AO325:AO326"/>
    <mergeCell ref="AO327:AO328"/>
    <mergeCell ref="AO329:AO330"/>
    <mergeCell ref="AO331:AO332"/>
    <mergeCell ref="AO333:AO334"/>
    <mergeCell ref="AO335:AO336"/>
    <mergeCell ref="AO337:AO338"/>
    <mergeCell ref="AO339:AO340"/>
    <mergeCell ref="AO341:AO342"/>
    <mergeCell ref="AO343:AO344"/>
    <mergeCell ref="AO345:AO346"/>
    <mergeCell ref="AO347:AO348"/>
    <mergeCell ref="AO349:AO350"/>
    <mergeCell ref="AO351:AO352"/>
    <mergeCell ref="AO353:AO354"/>
    <mergeCell ref="AO355:AO356"/>
    <mergeCell ref="AO357:AO358"/>
    <mergeCell ref="AO359:AO360"/>
    <mergeCell ref="AO361:AO362"/>
    <mergeCell ref="AO363:AO364"/>
    <mergeCell ref="AO365:AO366"/>
    <mergeCell ref="AO367:AO368"/>
    <mergeCell ref="AO369:AO370"/>
    <mergeCell ref="AO371:AO372"/>
    <mergeCell ref="AO373:AO374"/>
    <mergeCell ref="AO375:AO376"/>
    <mergeCell ref="AO377:AO378"/>
    <mergeCell ref="AO379:AO380"/>
    <mergeCell ref="AO381:AO382"/>
    <mergeCell ref="AO383:AO384"/>
    <mergeCell ref="AO385:AO386"/>
    <mergeCell ref="AP3:AP4"/>
    <mergeCell ref="AP5:AP6"/>
    <mergeCell ref="AP7:AP8"/>
    <mergeCell ref="AP9:AP10"/>
    <mergeCell ref="AP11:AP12"/>
    <mergeCell ref="AP13:AP14"/>
    <mergeCell ref="AP15:AP16"/>
    <mergeCell ref="AP17:AP18"/>
    <mergeCell ref="AP19:AP20"/>
    <mergeCell ref="AP21:AP22"/>
    <mergeCell ref="AP23:AP24"/>
    <mergeCell ref="AP25:AP26"/>
    <mergeCell ref="AP27:AP28"/>
    <mergeCell ref="AP29:AP30"/>
    <mergeCell ref="AP31:AP32"/>
    <mergeCell ref="AP33:AP34"/>
    <mergeCell ref="AP35:AP36"/>
    <mergeCell ref="AP37:AP38"/>
    <mergeCell ref="AP39:AP40"/>
    <mergeCell ref="AP41:AP42"/>
    <mergeCell ref="AP43:AP44"/>
    <mergeCell ref="AP45:AP46"/>
    <mergeCell ref="AP47:AP48"/>
    <mergeCell ref="AP49:AP50"/>
    <mergeCell ref="AP51:AP52"/>
    <mergeCell ref="AP53:AP54"/>
    <mergeCell ref="AP55:AP56"/>
    <mergeCell ref="AP57:AP58"/>
    <mergeCell ref="AP59:AP60"/>
    <mergeCell ref="AP61:AP62"/>
    <mergeCell ref="AP63:AP64"/>
    <mergeCell ref="AP65:AP66"/>
    <mergeCell ref="AP67:AP68"/>
    <mergeCell ref="AP69:AP70"/>
    <mergeCell ref="AP71:AP72"/>
    <mergeCell ref="AP73:AP74"/>
    <mergeCell ref="AP75:AP76"/>
    <mergeCell ref="AP77:AP78"/>
    <mergeCell ref="AP79:AP80"/>
    <mergeCell ref="AP81:AP82"/>
    <mergeCell ref="AP83:AP84"/>
    <mergeCell ref="AP85:AP86"/>
    <mergeCell ref="AP87:AP88"/>
    <mergeCell ref="AP89:AP90"/>
    <mergeCell ref="AP91:AP92"/>
    <mergeCell ref="AP93:AP94"/>
    <mergeCell ref="AP95:AP96"/>
    <mergeCell ref="AP97:AP98"/>
    <mergeCell ref="AP99:AP100"/>
    <mergeCell ref="AP101:AP102"/>
    <mergeCell ref="AP103:AP104"/>
    <mergeCell ref="AP105:AP106"/>
    <mergeCell ref="AP107:AP108"/>
    <mergeCell ref="AP109:AP110"/>
    <mergeCell ref="AP111:AP112"/>
    <mergeCell ref="AP113:AP114"/>
    <mergeCell ref="AP115:AP116"/>
    <mergeCell ref="AP117:AP118"/>
    <mergeCell ref="AP119:AP120"/>
    <mergeCell ref="AP121:AP122"/>
    <mergeCell ref="AP123:AP124"/>
    <mergeCell ref="AP125:AP126"/>
    <mergeCell ref="AP127:AP128"/>
    <mergeCell ref="AP129:AP130"/>
    <mergeCell ref="AP131:AP132"/>
    <mergeCell ref="AP133:AP134"/>
    <mergeCell ref="AP135:AP136"/>
    <mergeCell ref="AP137:AP138"/>
    <mergeCell ref="AP139:AP140"/>
    <mergeCell ref="AP141:AP142"/>
    <mergeCell ref="AP143:AP144"/>
    <mergeCell ref="AP145:AP146"/>
    <mergeCell ref="AP147:AP148"/>
    <mergeCell ref="AP149:AP150"/>
    <mergeCell ref="AP151:AP152"/>
    <mergeCell ref="AP153:AP154"/>
    <mergeCell ref="AP155:AP156"/>
    <mergeCell ref="AP157:AP158"/>
    <mergeCell ref="AP159:AP160"/>
    <mergeCell ref="AP161:AP162"/>
    <mergeCell ref="AP163:AP164"/>
    <mergeCell ref="AP165:AP166"/>
    <mergeCell ref="AP167:AP168"/>
    <mergeCell ref="AP169:AP170"/>
    <mergeCell ref="AP171:AP172"/>
    <mergeCell ref="AP173:AP174"/>
    <mergeCell ref="AP175:AP176"/>
    <mergeCell ref="AP177:AP178"/>
    <mergeCell ref="AP179:AP180"/>
    <mergeCell ref="AP181:AP182"/>
    <mergeCell ref="AP183:AP184"/>
    <mergeCell ref="AP185:AP186"/>
    <mergeCell ref="AP187:AP188"/>
    <mergeCell ref="AP189:AP190"/>
    <mergeCell ref="AP191:AP192"/>
    <mergeCell ref="AP193:AP194"/>
    <mergeCell ref="AP195:AP196"/>
    <mergeCell ref="AP197:AP198"/>
    <mergeCell ref="AP199:AP200"/>
    <mergeCell ref="AP201:AP202"/>
    <mergeCell ref="AP203:AP204"/>
    <mergeCell ref="AP205:AP206"/>
    <mergeCell ref="AP207:AP208"/>
    <mergeCell ref="AP209:AP210"/>
    <mergeCell ref="AP211:AP212"/>
    <mergeCell ref="AP213:AP214"/>
    <mergeCell ref="AP215:AP216"/>
    <mergeCell ref="AP217:AP218"/>
    <mergeCell ref="AP219:AP220"/>
    <mergeCell ref="AP221:AP222"/>
    <mergeCell ref="AP223:AP224"/>
    <mergeCell ref="AP225:AP226"/>
    <mergeCell ref="AP227:AP228"/>
    <mergeCell ref="AP229:AP230"/>
    <mergeCell ref="AP231:AP232"/>
    <mergeCell ref="AP233:AP234"/>
    <mergeCell ref="AP235:AP236"/>
    <mergeCell ref="AP237:AP238"/>
    <mergeCell ref="AP239:AP240"/>
    <mergeCell ref="AP241:AP242"/>
    <mergeCell ref="AP243:AP244"/>
    <mergeCell ref="AP245:AP246"/>
    <mergeCell ref="AP247:AP248"/>
    <mergeCell ref="AP249:AP250"/>
    <mergeCell ref="AP251:AP252"/>
    <mergeCell ref="AP253:AP254"/>
    <mergeCell ref="AP255:AP256"/>
    <mergeCell ref="AP257:AP258"/>
    <mergeCell ref="AP259:AP260"/>
    <mergeCell ref="AP261:AP262"/>
    <mergeCell ref="AP263:AP264"/>
    <mergeCell ref="AP265:AP266"/>
    <mergeCell ref="AP267:AP268"/>
    <mergeCell ref="AP269:AP270"/>
    <mergeCell ref="AP271:AP272"/>
    <mergeCell ref="AP273:AP274"/>
    <mergeCell ref="AP275:AP276"/>
    <mergeCell ref="AP277:AP278"/>
    <mergeCell ref="AP279:AP280"/>
    <mergeCell ref="AP281:AP282"/>
    <mergeCell ref="AP283:AP284"/>
    <mergeCell ref="AP285:AP286"/>
    <mergeCell ref="AP287:AP288"/>
    <mergeCell ref="AP289:AP290"/>
    <mergeCell ref="AP291:AP292"/>
    <mergeCell ref="AP293:AP294"/>
    <mergeCell ref="AP295:AP296"/>
    <mergeCell ref="AP297:AP298"/>
    <mergeCell ref="AP299:AP300"/>
    <mergeCell ref="AP301:AP302"/>
    <mergeCell ref="AP303:AP304"/>
    <mergeCell ref="AP305:AP306"/>
    <mergeCell ref="AP307:AP308"/>
    <mergeCell ref="AP309:AP310"/>
    <mergeCell ref="AP311:AP312"/>
    <mergeCell ref="AP313:AP314"/>
    <mergeCell ref="AP315:AP316"/>
    <mergeCell ref="AP317:AP318"/>
    <mergeCell ref="AP319:AP320"/>
    <mergeCell ref="AP321:AP322"/>
    <mergeCell ref="AP323:AP324"/>
    <mergeCell ref="AP325:AP326"/>
    <mergeCell ref="AP327:AP328"/>
    <mergeCell ref="AP329:AP330"/>
    <mergeCell ref="AP331:AP332"/>
    <mergeCell ref="AP333:AP334"/>
    <mergeCell ref="AP335:AP336"/>
    <mergeCell ref="AP337:AP338"/>
    <mergeCell ref="AP339:AP340"/>
    <mergeCell ref="AP341:AP342"/>
    <mergeCell ref="AP343:AP344"/>
    <mergeCell ref="AP345:AP346"/>
    <mergeCell ref="AP347:AP348"/>
    <mergeCell ref="AP349:AP350"/>
    <mergeCell ref="AP351:AP352"/>
    <mergeCell ref="AP353:AP354"/>
    <mergeCell ref="AP355:AP356"/>
    <mergeCell ref="AP357:AP358"/>
    <mergeCell ref="AP359:AP360"/>
    <mergeCell ref="AP361:AP362"/>
    <mergeCell ref="AP363:AP364"/>
    <mergeCell ref="AP365:AP366"/>
    <mergeCell ref="AP367:AP368"/>
    <mergeCell ref="AP369:AP370"/>
    <mergeCell ref="AP371:AP372"/>
    <mergeCell ref="AP373:AP374"/>
    <mergeCell ref="AP375:AP376"/>
    <mergeCell ref="AP377:AP378"/>
    <mergeCell ref="AP379:AP380"/>
    <mergeCell ref="AP381:AP382"/>
    <mergeCell ref="AP383:AP384"/>
    <mergeCell ref="AP385:AP386"/>
    <mergeCell ref="AQ3:AQ4"/>
    <mergeCell ref="AQ5:AQ6"/>
    <mergeCell ref="AQ7:AQ8"/>
    <mergeCell ref="AQ9:AQ10"/>
    <mergeCell ref="AQ11:AQ12"/>
    <mergeCell ref="AQ13:AQ14"/>
    <mergeCell ref="AQ15:AQ16"/>
    <mergeCell ref="AQ17:AQ18"/>
    <mergeCell ref="AQ19:AQ20"/>
    <mergeCell ref="AQ21:AQ22"/>
    <mergeCell ref="AQ23:AQ24"/>
    <mergeCell ref="AQ25:AQ26"/>
    <mergeCell ref="AQ27:AQ28"/>
    <mergeCell ref="AQ29:AQ30"/>
    <mergeCell ref="AQ31:AQ32"/>
    <mergeCell ref="AQ33:AQ34"/>
    <mergeCell ref="AQ35:AQ36"/>
    <mergeCell ref="AQ37:AQ38"/>
    <mergeCell ref="AQ39:AQ40"/>
    <mergeCell ref="AQ41:AQ42"/>
    <mergeCell ref="AQ43:AQ44"/>
    <mergeCell ref="AQ45:AQ46"/>
    <mergeCell ref="AQ47:AQ48"/>
    <mergeCell ref="AQ49:AQ50"/>
    <mergeCell ref="AQ51:AQ52"/>
    <mergeCell ref="AQ53:AQ54"/>
    <mergeCell ref="AQ55:AQ56"/>
    <mergeCell ref="AQ57:AQ58"/>
    <mergeCell ref="AQ59:AQ60"/>
    <mergeCell ref="AQ61:AQ62"/>
    <mergeCell ref="AQ63:AQ64"/>
    <mergeCell ref="AQ65:AQ66"/>
    <mergeCell ref="AQ67:AQ68"/>
    <mergeCell ref="AQ69:AQ70"/>
    <mergeCell ref="AQ71:AQ72"/>
    <mergeCell ref="AQ73:AQ74"/>
    <mergeCell ref="AQ75:AQ76"/>
    <mergeCell ref="AQ77:AQ78"/>
    <mergeCell ref="AQ79:AQ80"/>
    <mergeCell ref="AQ81:AQ82"/>
    <mergeCell ref="AQ83:AQ84"/>
    <mergeCell ref="AQ85:AQ86"/>
    <mergeCell ref="AQ87:AQ88"/>
    <mergeCell ref="AQ89:AQ90"/>
    <mergeCell ref="AQ91:AQ92"/>
    <mergeCell ref="AQ93:AQ94"/>
    <mergeCell ref="AQ95:AQ96"/>
    <mergeCell ref="AQ97:AQ98"/>
    <mergeCell ref="AQ99:AQ100"/>
    <mergeCell ref="AQ101:AQ102"/>
    <mergeCell ref="AQ103:AQ104"/>
    <mergeCell ref="AQ105:AQ106"/>
    <mergeCell ref="AQ107:AQ108"/>
    <mergeCell ref="AQ109:AQ110"/>
    <mergeCell ref="AQ111:AQ112"/>
    <mergeCell ref="AQ113:AQ114"/>
    <mergeCell ref="AQ115:AQ116"/>
    <mergeCell ref="AQ117:AQ118"/>
    <mergeCell ref="AQ119:AQ120"/>
    <mergeCell ref="AQ121:AQ122"/>
    <mergeCell ref="AQ123:AQ124"/>
    <mergeCell ref="AQ125:AQ126"/>
    <mergeCell ref="AQ127:AQ128"/>
    <mergeCell ref="AQ129:AQ130"/>
    <mergeCell ref="AQ131:AQ132"/>
    <mergeCell ref="AQ133:AQ134"/>
    <mergeCell ref="AQ135:AQ136"/>
    <mergeCell ref="AQ137:AQ138"/>
    <mergeCell ref="AQ139:AQ140"/>
    <mergeCell ref="AQ141:AQ142"/>
    <mergeCell ref="AQ143:AQ144"/>
    <mergeCell ref="AQ145:AQ146"/>
    <mergeCell ref="AQ147:AQ148"/>
    <mergeCell ref="AQ149:AQ150"/>
    <mergeCell ref="AQ151:AQ152"/>
    <mergeCell ref="AQ153:AQ154"/>
    <mergeCell ref="AQ155:AQ156"/>
    <mergeCell ref="AQ157:AQ158"/>
    <mergeCell ref="AQ159:AQ160"/>
    <mergeCell ref="AQ161:AQ162"/>
    <mergeCell ref="AQ163:AQ164"/>
    <mergeCell ref="AQ165:AQ166"/>
    <mergeCell ref="AQ167:AQ168"/>
    <mergeCell ref="AQ169:AQ170"/>
    <mergeCell ref="AQ171:AQ172"/>
    <mergeCell ref="AQ173:AQ174"/>
    <mergeCell ref="AQ175:AQ176"/>
    <mergeCell ref="AQ177:AQ178"/>
    <mergeCell ref="AQ179:AQ180"/>
    <mergeCell ref="AQ181:AQ182"/>
    <mergeCell ref="AQ183:AQ184"/>
    <mergeCell ref="AQ185:AQ186"/>
    <mergeCell ref="AQ187:AQ188"/>
    <mergeCell ref="AQ189:AQ190"/>
    <mergeCell ref="AQ191:AQ192"/>
    <mergeCell ref="AQ193:AQ194"/>
    <mergeCell ref="AQ195:AQ196"/>
    <mergeCell ref="AQ197:AQ198"/>
    <mergeCell ref="AQ199:AQ200"/>
    <mergeCell ref="AQ201:AQ202"/>
    <mergeCell ref="AQ203:AQ204"/>
    <mergeCell ref="AQ205:AQ206"/>
    <mergeCell ref="AQ207:AQ208"/>
    <mergeCell ref="AQ209:AQ210"/>
    <mergeCell ref="AQ211:AQ212"/>
    <mergeCell ref="AQ213:AQ214"/>
    <mergeCell ref="AQ215:AQ216"/>
    <mergeCell ref="AQ217:AQ218"/>
    <mergeCell ref="AQ219:AQ220"/>
    <mergeCell ref="AQ221:AQ222"/>
    <mergeCell ref="AQ223:AQ224"/>
    <mergeCell ref="AQ225:AQ226"/>
    <mergeCell ref="AQ227:AQ228"/>
    <mergeCell ref="AQ229:AQ230"/>
    <mergeCell ref="AQ231:AQ232"/>
    <mergeCell ref="AQ233:AQ234"/>
    <mergeCell ref="AQ235:AQ236"/>
    <mergeCell ref="AQ237:AQ238"/>
    <mergeCell ref="AQ239:AQ240"/>
    <mergeCell ref="AQ241:AQ242"/>
    <mergeCell ref="AQ243:AQ244"/>
    <mergeCell ref="AQ245:AQ246"/>
    <mergeCell ref="AQ247:AQ248"/>
    <mergeCell ref="AQ249:AQ250"/>
    <mergeCell ref="AQ251:AQ252"/>
    <mergeCell ref="AQ253:AQ254"/>
    <mergeCell ref="AQ255:AQ256"/>
    <mergeCell ref="AQ257:AQ258"/>
    <mergeCell ref="AQ259:AQ260"/>
    <mergeCell ref="AQ261:AQ262"/>
    <mergeCell ref="AQ263:AQ264"/>
    <mergeCell ref="AQ265:AQ266"/>
    <mergeCell ref="AQ267:AQ268"/>
    <mergeCell ref="AQ269:AQ270"/>
    <mergeCell ref="AQ271:AQ272"/>
    <mergeCell ref="AQ273:AQ274"/>
    <mergeCell ref="AQ275:AQ276"/>
    <mergeCell ref="AQ277:AQ278"/>
    <mergeCell ref="AQ279:AQ280"/>
    <mergeCell ref="AQ281:AQ282"/>
    <mergeCell ref="AQ283:AQ284"/>
    <mergeCell ref="AQ285:AQ286"/>
    <mergeCell ref="AQ287:AQ288"/>
    <mergeCell ref="AQ289:AQ290"/>
    <mergeCell ref="AQ291:AQ292"/>
    <mergeCell ref="AQ293:AQ294"/>
    <mergeCell ref="AQ295:AQ296"/>
    <mergeCell ref="AQ297:AQ298"/>
    <mergeCell ref="AQ299:AQ300"/>
    <mergeCell ref="AQ301:AQ302"/>
    <mergeCell ref="AQ303:AQ304"/>
    <mergeCell ref="AQ305:AQ306"/>
    <mergeCell ref="AQ307:AQ308"/>
    <mergeCell ref="AQ309:AQ310"/>
    <mergeCell ref="AQ311:AQ312"/>
    <mergeCell ref="AQ313:AQ314"/>
    <mergeCell ref="AQ315:AQ316"/>
    <mergeCell ref="AQ317:AQ318"/>
    <mergeCell ref="AQ319:AQ320"/>
    <mergeCell ref="AQ321:AQ322"/>
    <mergeCell ref="AQ323:AQ324"/>
    <mergeCell ref="AQ325:AQ326"/>
    <mergeCell ref="AQ327:AQ328"/>
    <mergeCell ref="AQ329:AQ330"/>
    <mergeCell ref="AQ331:AQ332"/>
    <mergeCell ref="AQ333:AQ334"/>
    <mergeCell ref="AQ335:AQ336"/>
    <mergeCell ref="AQ337:AQ338"/>
    <mergeCell ref="AQ339:AQ340"/>
    <mergeCell ref="AQ341:AQ342"/>
    <mergeCell ref="AQ343:AQ344"/>
    <mergeCell ref="AQ345:AQ346"/>
    <mergeCell ref="AQ347:AQ348"/>
    <mergeCell ref="AQ349:AQ350"/>
    <mergeCell ref="AQ351:AQ352"/>
    <mergeCell ref="AQ353:AQ354"/>
    <mergeCell ref="AQ355:AQ356"/>
    <mergeCell ref="AQ357:AQ358"/>
    <mergeCell ref="AQ359:AQ360"/>
    <mergeCell ref="AQ361:AQ362"/>
    <mergeCell ref="AQ363:AQ364"/>
    <mergeCell ref="AQ365:AQ366"/>
    <mergeCell ref="AQ367:AQ368"/>
    <mergeCell ref="AQ369:AQ370"/>
    <mergeCell ref="AQ371:AQ372"/>
    <mergeCell ref="AQ373:AQ374"/>
    <mergeCell ref="AQ375:AQ376"/>
    <mergeCell ref="AQ377:AQ378"/>
    <mergeCell ref="AQ379:AQ380"/>
    <mergeCell ref="AQ381:AQ382"/>
    <mergeCell ref="AQ383:AQ384"/>
    <mergeCell ref="AQ385:AQ386"/>
    <mergeCell ref="AR3:AR4"/>
    <mergeCell ref="AR5:AR6"/>
    <mergeCell ref="AR7:AR8"/>
    <mergeCell ref="AR9:AR10"/>
    <mergeCell ref="AR11:AR12"/>
    <mergeCell ref="AR13:AR14"/>
    <mergeCell ref="AR15:AR16"/>
    <mergeCell ref="AR17:AR18"/>
    <mergeCell ref="AR19:AR20"/>
    <mergeCell ref="AR21:AR22"/>
    <mergeCell ref="AR23:AR24"/>
    <mergeCell ref="AR25:AR26"/>
    <mergeCell ref="AR27:AR28"/>
    <mergeCell ref="AR29:AR30"/>
    <mergeCell ref="AR31:AR32"/>
    <mergeCell ref="AR33:AR34"/>
    <mergeCell ref="AR35:AR36"/>
    <mergeCell ref="AR37:AR38"/>
    <mergeCell ref="AR39:AR40"/>
    <mergeCell ref="AR41:AR42"/>
    <mergeCell ref="AR43:AR44"/>
    <mergeCell ref="AR45:AR46"/>
    <mergeCell ref="AR47:AR48"/>
    <mergeCell ref="AR49:AR50"/>
    <mergeCell ref="AR51:AR52"/>
    <mergeCell ref="AR53:AR54"/>
    <mergeCell ref="AR55:AR56"/>
    <mergeCell ref="AR57:AR58"/>
    <mergeCell ref="AR59:AR60"/>
    <mergeCell ref="AR61:AR62"/>
    <mergeCell ref="AR63:AR64"/>
    <mergeCell ref="AR65:AR66"/>
    <mergeCell ref="AR67:AR68"/>
    <mergeCell ref="AR69:AR70"/>
    <mergeCell ref="AR71:AR72"/>
    <mergeCell ref="AR73:AR74"/>
    <mergeCell ref="AR75:AR76"/>
    <mergeCell ref="AR77:AR78"/>
    <mergeCell ref="AR79:AR80"/>
    <mergeCell ref="AR81:AR82"/>
    <mergeCell ref="AR83:AR84"/>
    <mergeCell ref="AR85:AR86"/>
    <mergeCell ref="AR87:AR88"/>
    <mergeCell ref="AR89:AR90"/>
    <mergeCell ref="AR91:AR92"/>
    <mergeCell ref="AR93:AR94"/>
    <mergeCell ref="AR95:AR96"/>
    <mergeCell ref="AR97:AR98"/>
    <mergeCell ref="AR99:AR100"/>
    <mergeCell ref="AR101:AR102"/>
    <mergeCell ref="AR103:AR104"/>
    <mergeCell ref="AR105:AR106"/>
    <mergeCell ref="AR107:AR108"/>
    <mergeCell ref="AR109:AR110"/>
    <mergeCell ref="AR111:AR112"/>
    <mergeCell ref="AR113:AR114"/>
    <mergeCell ref="AR115:AR116"/>
    <mergeCell ref="AR117:AR118"/>
    <mergeCell ref="AR119:AR120"/>
    <mergeCell ref="AR121:AR122"/>
    <mergeCell ref="AR123:AR124"/>
    <mergeCell ref="AR125:AR126"/>
    <mergeCell ref="AR127:AR128"/>
    <mergeCell ref="AR129:AR130"/>
    <mergeCell ref="AR131:AR132"/>
    <mergeCell ref="AR133:AR134"/>
    <mergeCell ref="AR135:AR136"/>
    <mergeCell ref="AR137:AR138"/>
    <mergeCell ref="AR139:AR140"/>
    <mergeCell ref="AR141:AR142"/>
    <mergeCell ref="AR143:AR144"/>
    <mergeCell ref="AR145:AR146"/>
    <mergeCell ref="AR147:AR148"/>
    <mergeCell ref="AR149:AR150"/>
    <mergeCell ref="AR151:AR152"/>
    <mergeCell ref="AR153:AR154"/>
    <mergeCell ref="AR155:AR156"/>
    <mergeCell ref="AR157:AR158"/>
    <mergeCell ref="AR159:AR160"/>
    <mergeCell ref="AR161:AR162"/>
    <mergeCell ref="AR163:AR164"/>
    <mergeCell ref="AR165:AR166"/>
    <mergeCell ref="AR167:AR168"/>
    <mergeCell ref="AR169:AR170"/>
    <mergeCell ref="AR171:AR172"/>
    <mergeCell ref="AR173:AR174"/>
    <mergeCell ref="AR175:AR176"/>
    <mergeCell ref="AR177:AR178"/>
    <mergeCell ref="AR179:AR180"/>
    <mergeCell ref="AR181:AR182"/>
    <mergeCell ref="AR183:AR184"/>
    <mergeCell ref="AR185:AR186"/>
    <mergeCell ref="AR187:AR188"/>
    <mergeCell ref="AR189:AR190"/>
    <mergeCell ref="AR191:AR192"/>
    <mergeCell ref="AR193:AR194"/>
    <mergeCell ref="AR195:AR196"/>
    <mergeCell ref="AR197:AR198"/>
    <mergeCell ref="AR199:AR200"/>
    <mergeCell ref="AR201:AR202"/>
    <mergeCell ref="AR203:AR204"/>
    <mergeCell ref="AR205:AR206"/>
    <mergeCell ref="AR207:AR208"/>
    <mergeCell ref="AR209:AR210"/>
    <mergeCell ref="AR211:AR212"/>
    <mergeCell ref="AR213:AR214"/>
    <mergeCell ref="AR215:AR216"/>
    <mergeCell ref="AR217:AR218"/>
    <mergeCell ref="AR219:AR220"/>
    <mergeCell ref="AR221:AR222"/>
    <mergeCell ref="AR223:AR224"/>
    <mergeCell ref="AR225:AR226"/>
    <mergeCell ref="AR227:AR228"/>
    <mergeCell ref="AR229:AR230"/>
    <mergeCell ref="AR231:AR232"/>
    <mergeCell ref="AR233:AR234"/>
    <mergeCell ref="AR235:AR236"/>
    <mergeCell ref="AR237:AR238"/>
    <mergeCell ref="AR239:AR240"/>
    <mergeCell ref="AR241:AR242"/>
    <mergeCell ref="AR243:AR244"/>
    <mergeCell ref="AR245:AR246"/>
    <mergeCell ref="AR247:AR248"/>
    <mergeCell ref="AR249:AR250"/>
    <mergeCell ref="AR251:AR252"/>
    <mergeCell ref="AR253:AR254"/>
    <mergeCell ref="AR255:AR256"/>
    <mergeCell ref="AR257:AR258"/>
    <mergeCell ref="AR259:AR260"/>
    <mergeCell ref="AR261:AR262"/>
    <mergeCell ref="AR263:AR264"/>
    <mergeCell ref="AR265:AR266"/>
    <mergeCell ref="AR267:AR268"/>
    <mergeCell ref="AR269:AR270"/>
    <mergeCell ref="AR271:AR272"/>
    <mergeCell ref="AR273:AR274"/>
    <mergeCell ref="AR275:AR276"/>
    <mergeCell ref="AR277:AR278"/>
    <mergeCell ref="AR279:AR280"/>
    <mergeCell ref="AR281:AR282"/>
    <mergeCell ref="AR283:AR284"/>
    <mergeCell ref="AR285:AR286"/>
    <mergeCell ref="AR287:AR288"/>
    <mergeCell ref="AR289:AR290"/>
    <mergeCell ref="AR291:AR292"/>
    <mergeCell ref="AR293:AR294"/>
    <mergeCell ref="AR295:AR296"/>
    <mergeCell ref="AR297:AR298"/>
    <mergeCell ref="AR299:AR300"/>
    <mergeCell ref="AR301:AR302"/>
    <mergeCell ref="AR303:AR304"/>
    <mergeCell ref="AR305:AR306"/>
    <mergeCell ref="AR307:AR308"/>
    <mergeCell ref="AR309:AR310"/>
    <mergeCell ref="AR311:AR312"/>
    <mergeCell ref="AR313:AR314"/>
    <mergeCell ref="AR315:AR316"/>
    <mergeCell ref="AR317:AR318"/>
    <mergeCell ref="AR319:AR320"/>
    <mergeCell ref="AR321:AR322"/>
    <mergeCell ref="AR323:AR324"/>
    <mergeCell ref="AR325:AR326"/>
    <mergeCell ref="AR327:AR328"/>
    <mergeCell ref="AR329:AR330"/>
    <mergeCell ref="AR331:AR332"/>
    <mergeCell ref="AR333:AR334"/>
    <mergeCell ref="AR335:AR336"/>
    <mergeCell ref="AR337:AR338"/>
    <mergeCell ref="AR339:AR340"/>
    <mergeCell ref="AR341:AR342"/>
    <mergeCell ref="AR343:AR344"/>
    <mergeCell ref="AR345:AR346"/>
    <mergeCell ref="AR347:AR348"/>
    <mergeCell ref="AR349:AR350"/>
    <mergeCell ref="AR351:AR352"/>
    <mergeCell ref="AR353:AR354"/>
    <mergeCell ref="AR355:AR356"/>
    <mergeCell ref="AR357:AR358"/>
    <mergeCell ref="AR359:AR360"/>
    <mergeCell ref="AR361:AR362"/>
    <mergeCell ref="AR363:AR364"/>
    <mergeCell ref="AR365:AR366"/>
    <mergeCell ref="AR367:AR368"/>
    <mergeCell ref="AR369:AR370"/>
    <mergeCell ref="AR371:AR372"/>
    <mergeCell ref="AR373:AR374"/>
    <mergeCell ref="AR375:AR376"/>
    <mergeCell ref="AR377:AR378"/>
    <mergeCell ref="AR379:AR380"/>
    <mergeCell ref="AR381:AR382"/>
    <mergeCell ref="AR383:AR384"/>
    <mergeCell ref="AR385:AR386"/>
    <mergeCell ref="AS3:AS4"/>
    <mergeCell ref="AS5:AS6"/>
    <mergeCell ref="AS7:AS8"/>
    <mergeCell ref="AS9:AS10"/>
    <mergeCell ref="AS11:AS12"/>
    <mergeCell ref="AS13:AS14"/>
    <mergeCell ref="AS15:AS16"/>
    <mergeCell ref="AS17:AS18"/>
    <mergeCell ref="AS19:AS20"/>
    <mergeCell ref="AS21:AS22"/>
    <mergeCell ref="AS23:AS24"/>
    <mergeCell ref="AS25:AS26"/>
    <mergeCell ref="AS27:AS28"/>
    <mergeCell ref="AS29:AS30"/>
    <mergeCell ref="AS31:AS32"/>
    <mergeCell ref="AS33:AS34"/>
    <mergeCell ref="AS35:AS36"/>
    <mergeCell ref="AS37:AS38"/>
    <mergeCell ref="AS39:AS40"/>
    <mergeCell ref="AS41:AS42"/>
    <mergeCell ref="AS43:AS44"/>
    <mergeCell ref="AS45:AS46"/>
    <mergeCell ref="AS47:AS48"/>
    <mergeCell ref="AS49:AS50"/>
    <mergeCell ref="AS51:AS52"/>
    <mergeCell ref="AS53:AS54"/>
    <mergeCell ref="AS55:AS56"/>
    <mergeCell ref="AS57:AS58"/>
    <mergeCell ref="AS59:AS60"/>
    <mergeCell ref="AS61:AS62"/>
    <mergeCell ref="AS63:AS64"/>
    <mergeCell ref="AS65:AS66"/>
    <mergeCell ref="AS67:AS68"/>
    <mergeCell ref="AS69:AS70"/>
    <mergeCell ref="AS71:AS72"/>
    <mergeCell ref="AS73:AS74"/>
    <mergeCell ref="AS75:AS76"/>
    <mergeCell ref="AS77:AS78"/>
    <mergeCell ref="AS79:AS80"/>
    <mergeCell ref="AS81:AS82"/>
    <mergeCell ref="AS83:AS84"/>
    <mergeCell ref="AS85:AS86"/>
    <mergeCell ref="AS87:AS88"/>
    <mergeCell ref="AS89:AS90"/>
    <mergeCell ref="AS91:AS92"/>
    <mergeCell ref="AS93:AS94"/>
    <mergeCell ref="AS95:AS96"/>
    <mergeCell ref="AS97:AS98"/>
    <mergeCell ref="AS99:AS100"/>
    <mergeCell ref="AS101:AS102"/>
    <mergeCell ref="AS103:AS104"/>
    <mergeCell ref="AS105:AS106"/>
    <mergeCell ref="AS107:AS108"/>
    <mergeCell ref="AS109:AS110"/>
    <mergeCell ref="AS111:AS112"/>
    <mergeCell ref="AS113:AS114"/>
    <mergeCell ref="AS115:AS116"/>
    <mergeCell ref="AS117:AS118"/>
    <mergeCell ref="AS119:AS120"/>
    <mergeCell ref="AS121:AS122"/>
    <mergeCell ref="AS123:AS124"/>
    <mergeCell ref="AS125:AS126"/>
    <mergeCell ref="AS127:AS128"/>
    <mergeCell ref="AS129:AS130"/>
    <mergeCell ref="AS131:AS132"/>
    <mergeCell ref="AS133:AS134"/>
    <mergeCell ref="AS135:AS136"/>
    <mergeCell ref="AS137:AS138"/>
    <mergeCell ref="AS139:AS140"/>
    <mergeCell ref="AS141:AS142"/>
    <mergeCell ref="AS143:AS144"/>
    <mergeCell ref="AS145:AS146"/>
    <mergeCell ref="AS147:AS148"/>
    <mergeCell ref="AS149:AS150"/>
    <mergeCell ref="AS151:AS152"/>
    <mergeCell ref="AS153:AS154"/>
    <mergeCell ref="AS155:AS156"/>
    <mergeCell ref="AS157:AS158"/>
    <mergeCell ref="AS159:AS160"/>
    <mergeCell ref="AS161:AS162"/>
    <mergeCell ref="AS163:AS164"/>
    <mergeCell ref="AS165:AS166"/>
    <mergeCell ref="AS167:AS168"/>
    <mergeCell ref="AS169:AS170"/>
    <mergeCell ref="AS171:AS172"/>
    <mergeCell ref="AS173:AS174"/>
    <mergeCell ref="AS175:AS176"/>
    <mergeCell ref="AS177:AS178"/>
    <mergeCell ref="AS179:AS180"/>
    <mergeCell ref="AS181:AS182"/>
    <mergeCell ref="AS183:AS184"/>
    <mergeCell ref="AS185:AS186"/>
    <mergeCell ref="AS187:AS188"/>
    <mergeCell ref="AS189:AS190"/>
    <mergeCell ref="AS191:AS192"/>
    <mergeCell ref="AS193:AS194"/>
    <mergeCell ref="AS195:AS196"/>
    <mergeCell ref="AS197:AS198"/>
    <mergeCell ref="AS199:AS200"/>
    <mergeCell ref="AS201:AS202"/>
    <mergeCell ref="AS203:AS204"/>
    <mergeCell ref="AS205:AS206"/>
    <mergeCell ref="AS207:AS208"/>
    <mergeCell ref="AS209:AS210"/>
    <mergeCell ref="AS211:AS212"/>
    <mergeCell ref="AS213:AS214"/>
    <mergeCell ref="AS215:AS216"/>
    <mergeCell ref="AS217:AS218"/>
    <mergeCell ref="AS219:AS220"/>
    <mergeCell ref="AS221:AS222"/>
    <mergeCell ref="AS223:AS224"/>
    <mergeCell ref="AS225:AS226"/>
    <mergeCell ref="AS227:AS228"/>
    <mergeCell ref="AS229:AS230"/>
    <mergeCell ref="AS231:AS232"/>
    <mergeCell ref="AS233:AS234"/>
    <mergeCell ref="AS235:AS236"/>
    <mergeCell ref="AS237:AS238"/>
    <mergeCell ref="AS239:AS240"/>
    <mergeCell ref="AS241:AS242"/>
    <mergeCell ref="AS243:AS244"/>
    <mergeCell ref="AS245:AS246"/>
    <mergeCell ref="AS247:AS248"/>
    <mergeCell ref="AS249:AS250"/>
    <mergeCell ref="AS251:AS252"/>
    <mergeCell ref="AS253:AS254"/>
    <mergeCell ref="AS255:AS256"/>
    <mergeCell ref="AS257:AS258"/>
    <mergeCell ref="AS259:AS260"/>
    <mergeCell ref="AS261:AS262"/>
    <mergeCell ref="AS263:AS264"/>
    <mergeCell ref="AS265:AS266"/>
    <mergeCell ref="AS267:AS268"/>
    <mergeCell ref="AS269:AS270"/>
    <mergeCell ref="AS271:AS272"/>
    <mergeCell ref="AS273:AS274"/>
    <mergeCell ref="AS275:AS276"/>
    <mergeCell ref="AS277:AS278"/>
    <mergeCell ref="AS279:AS280"/>
    <mergeCell ref="AS281:AS282"/>
    <mergeCell ref="AS283:AS284"/>
    <mergeCell ref="AS285:AS286"/>
    <mergeCell ref="AS287:AS288"/>
    <mergeCell ref="AS289:AS290"/>
    <mergeCell ref="AS291:AS292"/>
    <mergeCell ref="AS293:AS294"/>
    <mergeCell ref="AS295:AS296"/>
    <mergeCell ref="AS297:AS298"/>
    <mergeCell ref="AS299:AS300"/>
    <mergeCell ref="AS301:AS302"/>
    <mergeCell ref="AS303:AS304"/>
    <mergeCell ref="AS305:AS306"/>
    <mergeCell ref="AS307:AS308"/>
    <mergeCell ref="AS309:AS310"/>
    <mergeCell ref="AS311:AS312"/>
    <mergeCell ref="AS313:AS314"/>
    <mergeCell ref="AS315:AS316"/>
    <mergeCell ref="AS317:AS318"/>
    <mergeCell ref="AS319:AS320"/>
    <mergeCell ref="AS321:AS322"/>
    <mergeCell ref="AS323:AS324"/>
    <mergeCell ref="AS325:AS326"/>
    <mergeCell ref="AS327:AS328"/>
    <mergeCell ref="AS329:AS330"/>
    <mergeCell ref="AS331:AS332"/>
    <mergeCell ref="AS333:AS334"/>
    <mergeCell ref="AS335:AS336"/>
    <mergeCell ref="AS337:AS338"/>
    <mergeCell ref="AS339:AS340"/>
    <mergeCell ref="AS341:AS342"/>
    <mergeCell ref="AS343:AS344"/>
    <mergeCell ref="AS345:AS346"/>
    <mergeCell ref="AS347:AS348"/>
    <mergeCell ref="AS349:AS350"/>
    <mergeCell ref="AS351:AS352"/>
    <mergeCell ref="AS353:AS354"/>
    <mergeCell ref="AS355:AS356"/>
    <mergeCell ref="AS357:AS358"/>
    <mergeCell ref="AS359:AS360"/>
    <mergeCell ref="AS361:AS362"/>
    <mergeCell ref="AS363:AS364"/>
    <mergeCell ref="AS365:AS366"/>
    <mergeCell ref="AS367:AS368"/>
    <mergeCell ref="AS369:AS370"/>
    <mergeCell ref="AS371:AS372"/>
    <mergeCell ref="AS373:AS374"/>
    <mergeCell ref="AS375:AS376"/>
    <mergeCell ref="AS377:AS378"/>
    <mergeCell ref="AS379:AS380"/>
    <mergeCell ref="AS381:AS382"/>
    <mergeCell ref="AS383:AS384"/>
    <mergeCell ref="AS385:AS386"/>
    <mergeCell ref="AT3:AT4"/>
    <mergeCell ref="AT5:AT6"/>
    <mergeCell ref="AT7:AT8"/>
    <mergeCell ref="AT9:AT10"/>
    <mergeCell ref="AT11:AT12"/>
    <mergeCell ref="AT13:AT14"/>
    <mergeCell ref="AT15:AT16"/>
    <mergeCell ref="AT17:AT18"/>
    <mergeCell ref="AT19:AT20"/>
    <mergeCell ref="AT21:AT22"/>
    <mergeCell ref="AT23:AT24"/>
    <mergeCell ref="AT25:AT26"/>
    <mergeCell ref="AT27:AT28"/>
    <mergeCell ref="AT29:AT30"/>
    <mergeCell ref="AT31:AT32"/>
    <mergeCell ref="AT33:AT34"/>
    <mergeCell ref="AT35:AT36"/>
    <mergeCell ref="AT37:AT38"/>
    <mergeCell ref="AT39:AT40"/>
    <mergeCell ref="AT41:AT42"/>
    <mergeCell ref="AT43:AT44"/>
    <mergeCell ref="AT45:AT46"/>
    <mergeCell ref="AT47:AT48"/>
    <mergeCell ref="AT49:AT50"/>
    <mergeCell ref="AT51:AT52"/>
    <mergeCell ref="AT53:AT54"/>
    <mergeCell ref="AT55:AT56"/>
    <mergeCell ref="AT57:AT58"/>
    <mergeCell ref="AT59:AT60"/>
    <mergeCell ref="AT61:AT62"/>
    <mergeCell ref="AT63:AT64"/>
    <mergeCell ref="AT65:AT66"/>
    <mergeCell ref="AT67:AT68"/>
    <mergeCell ref="AT69:AT70"/>
    <mergeCell ref="AT71:AT72"/>
    <mergeCell ref="AT73:AT74"/>
    <mergeCell ref="AT75:AT76"/>
    <mergeCell ref="AT77:AT78"/>
    <mergeCell ref="AT79:AT80"/>
    <mergeCell ref="AT81:AT82"/>
    <mergeCell ref="AT83:AT84"/>
    <mergeCell ref="AT85:AT86"/>
    <mergeCell ref="AT87:AT88"/>
    <mergeCell ref="AT89:AT90"/>
    <mergeCell ref="AT91:AT92"/>
    <mergeCell ref="AT93:AT94"/>
    <mergeCell ref="AT95:AT96"/>
    <mergeCell ref="AT97:AT98"/>
    <mergeCell ref="AT99:AT100"/>
    <mergeCell ref="AT101:AT102"/>
    <mergeCell ref="AT103:AT104"/>
    <mergeCell ref="AT105:AT106"/>
    <mergeCell ref="AT107:AT108"/>
    <mergeCell ref="AT109:AT110"/>
    <mergeCell ref="AT111:AT112"/>
    <mergeCell ref="AT113:AT114"/>
    <mergeCell ref="AT115:AT116"/>
    <mergeCell ref="AT117:AT118"/>
    <mergeCell ref="AT119:AT120"/>
    <mergeCell ref="AT121:AT122"/>
    <mergeCell ref="AT123:AT124"/>
    <mergeCell ref="AT125:AT126"/>
    <mergeCell ref="AT127:AT128"/>
    <mergeCell ref="AT129:AT130"/>
    <mergeCell ref="AT131:AT132"/>
    <mergeCell ref="AT133:AT134"/>
    <mergeCell ref="AT135:AT136"/>
    <mergeCell ref="AT137:AT138"/>
    <mergeCell ref="AT139:AT140"/>
    <mergeCell ref="AT141:AT142"/>
    <mergeCell ref="AT143:AT144"/>
    <mergeCell ref="AT145:AT146"/>
    <mergeCell ref="AT147:AT148"/>
    <mergeCell ref="AT149:AT150"/>
    <mergeCell ref="AT151:AT152"/>
    <mergeCell ref="AT153:AT154"/>
    <mergeCell ref="AT155:AT156"/>
    <mergeCell ref="AT157:AT158"/>
    <mergeCell ref="AT159:AT160"/>
    <mergeCell ref="AT161:AT162"/>
    <mergeCell ref="AT163:AT164"/>
    <mergeCell ref="AT165:AT166"/>
    <mergeCell ref="AT167:AT168"/>
    <mergeCell ref="AT169:AT170"/>
    <mergeCell ref="AT171:AT172"/>
    <mergeCell ref="AT173:AT174"/>
    <mergeCell ref="AT175:AT176"/>
    <mergeCell ref="AT177:AT178"/>
    <mergeCell ref="AT179:AT180"/>
    <mergeCell ref="AT181:AT182"/>
    <mergeCell ref="AT183:AT184"/>
    <mergeCell ref="AT185:AT186"/>
    <mergeCell ref="AT187:AT188"/>
    <mergeCell ref="AT189:AT190"/>
    <mergeCell ref="AT191:AT192"/>
    <mergeCell ref="AT193:AT194"/>
    <mergeCell ref="AT195:AT196"/>
    <mergeCell ref="AT197:AT198"/>
    <mergeCell ref="AT199:AT200"/>
    <mergeCell ref="AT201:AT202"/>
    <mergeCell ref="AT203:AT204"/>
    <mergeCell ref="AT205:AT206"/>
    <mergeCell ref="AT207:AT208"/>
    <mergeCell ref="AT209:AT210"/>
    <mergeCell ref="AT211:AT212"/>
    <mergeCell ref="AT213:AT214"/>
    <mergeCell ref="AT215:AT216"/>
    <mergeCell ref="AT217:AT218"/>
    <mergeCell ref="AT219:AT220"/>
    <mergeCell ref="AT221:AT222"/>
    <mergeCell ref="AT223:AT224"/>
    <mergeCell ref="AT225:AT226"/>
    <mergeCell ref="AT227:AT228"/>
    <mergeCell ref="AT229:AT230"/>
    <mergeCell ref="AT231:AT232"/>
    <mergeCell ref="AT233:AT234"/>
    <mergeCell ref="AT235:AT236"/>
    <mergeCell ref="AT237:AT238"/>
    <mergeCell ref="AT239:AT240"/>
    <mergeCell ref="AT241:AT242"/>
    <mergeCell ref="AT243:AT244"/>
    <mergeCell ref="AT245:AT246"/>
    <mergeCell ref="AT247:AT248"/>
    <mergeCell ref="AT249:AT250"/>
    <mergeCell ref="AT251:AT252"/>
    <mergeCell ref="AT253:AT254"/>
    <mergeCell ref="AT255:AT256"/>
    <mergeCell ref="AT257:AT258"/>
    <mergeCell ref="AT259:AT260"/>
    <mergeCell ref="AT261:AT262"/>
    <mergeCell ref="AT263:AT264"/>
    <mergeCell ref="AT265:AT266"/>
    <mergeCell ref="AT267:AT268"/>
    <mergeCell ref="AT269:AT270"/>
    <mergeCell ref="AT271:AT272"/>
    <mergeCell ref="AT273:AT274"/>
    <mergeCell ref="AT275:AT276"/>
    <mergeCell ref="AT277:AT278"/>
    <mergeCell ref="AT279:AT280"/>
    <mergeCell ref="AT281:AT282"/>
    <mergeCell ref="AT283:AT284"/>
    <mergeCell ref="AT285:AT286"/>
    <mergeCell ref="AT287:AT288"/>
    <mergeCell ref="AT289:AT290"/>
    <mergeCell ref="AT291:AT292"/>
    <mergeCell ref="AT293:AT294"/>
    <mergeCell ref="AT295:AT296"/>
    <mergeCell ref="AT297:AT298"/>
    <mergeCell ref="AT299:AT300"/>
    <mergeCell ref="AT301:AT302"/>
    <mergeCell ref="AT303:AT304"/>
    <mergeCell ref="AT305:AT306"/>
    <mergeCell ref="AT307:AT308"/>
    <mergeCell ref="AT309:AT310"/>
    <mergeCell ref="AT311:AT312"/>
    <mergeCell ref="AT313:AT314"/>
    <mergeCell ref="AT315:AT316"/>
    <mergeCell ref="AT317:AT318"/>
    <mergeCell ref="AT319:AT320"/>
    <mergeCell ref="AT321:AT322"/>
    <mergeCell ref="AT323:AT324"/>
    <mergeCell ref="AT325:AT326"/>
    <mergeCell ref="AT327:AT328"/>
    <mergeCell ref="AT329:AT330"/>
    <mergeCell ref="AT331:AT332"/>
    <mergeCell ref="AT333:AT334"/>
    <mergeCell ref="AT335:AT336"/>
    <mergeCell ref="AT337:AT338"/>
    <mergeCell ref="AT339:AT340"/>
    <mergeCell ref="AT341:AT342"/>
    <mergeCell ref="AT343:AT344"/>
    <mergeCell ref="AT345:AT346"/>
    <mergeCell ref="AT347:AT348"/>
    <mergeCell ref="AT349:AT350"/>
    <mergeCell ref="AT351:AT352"/>
    <mergeCell ref="AT353:AT354"/>
    <mergeCell ref="AT355:AT356"/>
    <mergeCell ref="AT357:AT358"/>
    <mergeCell ref="AT359:AT360"/>
    <mergeCell ref="AT361:AT362"/>
    <mergeCell ref="AT363:AT364"/>
    <mergeCell ref="AT365:AT366"/>
    <mergeCell ref="AT367:AT368"/>
    <mergeCell ref="AT369:AT370"/>
    <mergeCell ref="AT371:AT372"/>
    <mergeCell ref="AT373:AT374"/>
    <mergeCell ref="AT375:AT376"/>
    <mergeCell ref="AT377:AT378"/>
    <mergeCell ref="AT379:AT380"/>
    <mergeCell ref="AT381:AT382"/>
    <mergeCell ref="AT383:AT384"/>
    <mergeCell ref="AT385:AT386"/>
    <mergeCell ref="AU3:AU4"/>
    <mergeCell ref="AU5:AU6"/>
    <mergeCell ref="AU7:AU8"/>
    <mergeCell ref="AU9:AU10"/>
    <mergeCell ref="AU11:AU12"/>
    <mergeCell ref="AU13:AU14"/>
    <mergeCell ref="AU15:AU16"/>
    <mergeCell ref="AU17:AU18"/>
    <mergeCell ref="AU19:AU20"/>
    <mergeCell ref="AU21:AU22"/>
    <mergeCell ref="AU23:AU24"/>
    <mergeCell ref="AU25:AU26"/>
    <mergeCell ref="AU27:AU28"/>
    <mergeCell ref="AU29:AU30"/>
    <mergeCell ref="AU31:AU32"/>
    <mergeCell ref="AU33:AU34"/>
    <mergeCell ref="AU35:AU36"/>
    <mergeCell ref="AU37:AU38"/>
    <mergeCell ref="AU39:AU40"/>
    <mergeCell ref="AU41:AU42"/>
    <mergeCell ref="AU43:AU44"/>
    <mergeCell ref="AU45:AU46"/>
    <mergeCell ref="AU47:AU48"/>
    <mergeCell ref="AU49:AU50"/>
    <mergeCell ref="AU51:AU52"/>
    <mergeCell ref="AU53:AU54"/>
    <mergeCell ref="AU55:AU56"/>
    <mergeCell ref="AU57:AU58"/>
    <mergeCell ref="AU59:AU60"/>
    <mergeCell ref="AU61:AU62"/>
    <mergeCell ref="AU63:AU64"/>
    <mergeCell ref="AU65:AU66"/>
    <mergeCell ref="AU67:AU68"/>
    <mergeCell ref="AU69:AU70"/>
    <mergeCell ref="AU71:AU72"/>
    <mergeCell ref="AU73:AU74"/>
    <mergeCell ref="AU75:AU76"/>
    <mergeCell ref="AU77:AU78"/>
    <mergeCell ref="AU79:AU80"/>
    <mergeCell ref="AU81:AU82"/>
    <mergeCell ref="AU83:AU84"/>
    <mergeCell ref="AU85:AU86"/>
    <mergeCell ref="AU87:AU88"/>
    <mergeCell ref="AU89:AU90"/>
    <mergeCell ref="AU91:AU92"/>
    <mergeCell ref="AU93:AU94"/>
    <mergeCell ref="AU95:AU96"/>
    <mergeCell ref="AU97:AU98"/>
    <mergeCell ref="AU99:AU100"/>
    <mergeCell ref="AU101:AU102"/>
    <mergeCell ref="AU103:AU104"/>
    <mergeCell ref="AU105:AU106"/>
    <mergeCell ref="AU107:AU108"/>
    <mergeCell ref="AU109:AU110"/>
    <mergeCell ref="AU111:AU112"/>
    <mergeCell ref="AU113:AU114"/>
    <mergeCell ref="AU115:AU116"/>
    <mergeCell ref="AU117:AU118"/>
    <mergeCell ref="AU119:AU120"/>
    <mergeCell ref="AU121:AU122"/>
    <mergeCell ref="AU123:AU124"/>
    <mergeCell ref="AU125:AU126"/>
    <mergeCell ref="AU127:AU128"/>
    <mergeCell ref="AU129:AU130"/>
    <mergeCell ref="AU131:AU132"/>
    <mergeCell ref="AU133:AU134"/>
    <mergeCell ref="AU135:AU136"/>
    <mergeCell ref="AU137:AU138"/>
    <mergeCell ref="AU139:AU140"/>
    <mergeCell ref="AU141:AU142"/>
    <mergeCell ref="AU143:AU144"/>
    <mergeCell ref="AU145:AU146"/>
    <mergeCell ref="AU147:AU148"/>
    <mergeCell ref="AU149:AU150"/>
    <mergeCell ref="AU151:AU152"/>
    <mergeCell ref="AU153:AU154"/>
    <mergeCell ref="AU155:AU156"/>
    <mergeCell ref="AU157:AU158"/>
    <mergeCell ref="AU159:AU160"/>
    <mergeCell ref="AU161:AU162"/>
    <mergeCell ref="AU163:AU164"/>
    <mergeCell ref="AU165:AU166"/>
    <mergeCell ref="AU167:AU168"/>
    <mergeCell ref="AU169:AU170"/>
    <mergeCell ref="AU171:AU172"/>
    <mergeCell ref="AU173:AU174"/>
    <mergeCell ref="AU175:AU176"/>
    <mergeCell ref="AU177:AU178"/>
    <mergeCell ref="AU179:AU180"/>
    <mergeCell ref="AU181:AU182"/>
    <mergeCell ref="AU183:AU184"/>
    <mergeCell ref="AU185:AU186"/>
    <mergeCell ref="AU187:AU188"/>
    <mergeCell ref="AU189:AU190"/>
    <mergeCell ref="AU191:AU192"/>
    <mergeCell ref="AU193:AU194"/>
    <mergeCell ref="AU195:AU196"/>
    <mergeCell ref="AU197:AU198"/>
    <mergeCell ref="AU199:AU200"/>
    <mergeCell ref="AU201:AU202"/>
    <mergeCell ref="AU203:AU204"/>
    <mergeCell ref="AU205:AU206"/>
    <mergeCell ref="AU207:AU208"/>
    <mergeCell ref="AU209:AU210"/>
    <mergeCell ref="AU211:AU212"/>
    <mergeCell ref="AU213:AU214"/>
    <mergeCell ref="AU215:AU216"/>
    <mergeCell ref="AU217:AU218"/>
    <mergeCell ref="AU219:AU220"/>
    <mergeCell ref="AU221:AU222"/>
    <mergeCell ref="AU223:AU224"/>
    <mergeCell ref="AU225:AU226"/>
    <mergeCell ref="AU227:AU228"/>
    <mergeCell ref="AU229:AU230"/>
    <mergeCell ref="AU231:AU232"/>
    <mergeCell ref="AU233:AU234"/>
    <mergeCell ref="AU235:AU236"/>
    <mergeCell ref="AU237:AU238"/>
    <mergeCell ref="AU239:AU240"/>
    <mergeCell ref="AU241:AU242"/>
    <mergeCell ref="AU243:AU244"/>
    <mergeCell ref="AU245:AU246"/>
    <mergeCell ref="AU247:AU248"/>
    <mergeCell ref="AU249:AU250"/>
    <mergeCell ref="AU251:AU252"/>
    <mergeCell ref="AU253:AU254"/>
    <mergeCell ref="AU255:AU256"/>
    <mergeCell ref="AU257:AU258"/>
    <mergeCell ref="AU259:AU260"/>
    <mergeCell ref="AU261:AU262"/>
    <mergeCell ref="AU263:AU264"/>
    <mergeCell ref="AU265:AU266"/>
    <mergeCell ref="AU267:AU268"/>
    <mergeCell ref="AU269:AU270"/>
    <mergeCell ref="AU271:AU272"/>
    <mergeCell ref="AU273:AU274"/>
    <mergeCell ref="AU275:AU276"/>
    <mergeCell ref="AU277:AU278"/>
    <mergeCell ref="AU279:AU280"/>
    <mergeCell ref="AU281:AU282"/>
    <mergeCell ref="AU283:AU284"/>
    <mergeCell ref="AU285:AU286"/>
    <mergeCell ref="AU287:AU288"/>
    <mergeCell ref="AU289:AU290"/>
    <mergeCell ref="AU291:AU292"/>
    <mergeCell ref="AU293:AU294"/>
    <mergeCell ref="AU295:AU296"/>
    <mergeCell ref="AU297:AU298"/>
    <mergeCell ref="AU299:AU300"/>
    <mergeCell ref="AU301:AU302"/>
    <mergeCell ref="AU303:AU304"/>
    <mergeCell ref="AU305:AU306"/>
    <mergeCell ref="AU307:AU308"/>
    <mergeCell ref="AU309:AU310"/>
    <mergeCell ref="AU311:AU312"/>
    <mergeCell ref="AU313:AU314"/>
    <mergeCell ref="AU315:AU316"/>
    <mergeCell ref="AU317:AU318"/>
    <mergeCell ref="AU319:AU320"/>
    <mergeCell ref="AU321:AU322"/>
    <mergeCell ref="AU323:AU324"/>
    <mergeCell ref="AU325:AU326"/>
    <mergeCell ref="AU327:AU328"/>
    <mergeCell ref="AU329:AU330"/>
    <mergeCell ref="AU331:AU332"/>
    <mergeCell ref="AU333:AU334"/>
    <mergeCell ref="AU335:AU336"/>
    <mergeCell ref="AU337:AU338"/>
    <mergeCell ref="AU339:AU340"/>
    <mergeCell ref="AU341:AU342"/>
    <mergeCell ref="AU343:AU344"/>
    <mergeCell ref="AU345:AU346"/>
    <mergeCell ref="AU347:AU348"/>
    <mergeCell ref="AU349:AU350"/>
    <mergeCell ref="AU351:AU352"/>
    <mergeCell ref="AU353:AU354"/>
    <mergeCell ref="AU355:AU356"/>
    <mergeCell ref="AU357:AU358"/>
    <mergeCell ref="AU359:AU360"/>
    <mergeCell ref="AU361:AU362"/>
    <mergeCell ref="AU363:AU364"/>
    <mergeCell ref="AU365:AU366"/>
    <mergeCell ref="AU367:AU368"/>
    <mergeCell ref="AU369:AU370"/>
    <mergeCell ref="AU371:AU372"/>
    <mergeCell ref="AU373:AU374"/>
    <mergeCell ref="AU375:AU376"/>
    <mergeCell ref="AU377:AU378"/>
    <mergeCell ref="AU379:AU380"/>
    <mergeCell ref="AU381:AU382"/>
    <mergeCell ref="AU383:AU384"/>
    <mergeCell ref="AU385:AU386"/>
    <mergeCell ref="AV3:AV4"/>
    <mergeCell ref="AV5:AV6"/>
    <mergeCell ref="AV7:AV8"/>
    <mergeCell ref="AV9:AV10"/>
    <mergeCell ref="AV11:AV12"/>
    <mergeCell ref="AV13:AV14"/>
    <mergeCell ref="AV15:AV16"/>
    <mergeCell ref="AV17:AV18"/>
    <mergeCell ref="AV19:AV20"/>
    <mergeCell ref="AV21:AV22"/>
    <mergeCell ref="AV23:AV24"/>
    <mergeCell ref="AV25:AV26"/>
    <mergeCell ref="AV27:AV28"/>
    <mergeCell ref="AV29:AV30"/>
    <mergeCell ref="AV31:AV32"/>
    <mergeCell ref="AV33:AV34"/>
    <mergeCell ref="AV35:AV36"/>
    <mergeCell ref="AV37:AV38"/>
    <mergeCell ref="AV39:AV40"/>
    <mergeCell ref="AV41:AV42"/>
    <mergeCell ref="AV43:AV44"/>
    <mergeCell ref="AV45:AV46"/>
    <mergeCell ref="AV47:AV48"/>
    <mergeCell ref="AV49:AV50"/>
    <mergeCell ref="AV51:AV52"/>
    <mergeCell ref="AV53:AV54"/>
    <mergeCell ref="AV55:AV56"/>
    <mergeCell ref="AV57:AV58"/>
    <mergeCell ref="AV59:AV60"/>
    <mergeCell ref="AV61:AV62"/>
    <mergeCell ref="AV63:AV64"/>
    <mergeCell ref="AV65:AV66"/>
    <mergeCell ref="AV67:AV68"/>
    <mergeCell ref="AV69:AV70"/>
    <mergeCell ref="AV71:AV72"/>
    <mergeCell ref="AV73:AV74"/>
    <mergeCell ref="AV75:AV76"/>
    <mergeCell ref="AV77:AV78"/>
    <mergeCell ref="AV79:AV80"/>
    <mergeCell ref="AV81:AV82"/>
    <mergeCell ref="AV83:AV84"/>
    <mergeCell ref="AV85:AV86"/>
    <mergeCell ref="AV87:AV88"/>
    <mergeCell ref="AV89:AV90"/>
    <mergeCell ref="AV91:AV92"/>
    <mergeCell ref="AV93:AV94"/>
    <mergeCell ref="AV95:AV96"/>
    <mergeCell ref="AV97:AV98"/>
    <mergeCell ref="AV99:AV100"/>
    <mergeCell ref="AV101:AV102"/>
    <mergeCell ref="AV103:AV104"/>
    <mergeCell ref="AV105:AV106"/>
    <mergeCell ref="AV107:AV108"/>
    <mergeCell ref="AV109:AV110"/>
    <mergeCell ref="AV111:AV112"/>
    <mergeCell ref="AV113:AV114"/>
    <mergeCell ref="AV115:AV116"/>
    <mergeCell ref="AV117:AV118"/>
    <mergeCell ref="AV119:AV120"/>
    <mergeCell ref="AV121:AV122"/>
    <mergeCell ref="AV123:AV124"/>
    <mergeCell ref="AV125:AV126"/>
    <mergeCell ref="AV127:AV128"/>
    <mergeCell ref="AV129:AV130"/>
    <mergeCell ref="AV131:AV132"/>
    <mergeCell ref="AV133:AV134"/>
    <mergeCell ref="AV135:AV136"/>
    <mergeCell ref="AV137:AV138"/>
    <mergeCell ref="AV139:AV140"/>
    <mergeCell ref="AV141:AV142"/>
    <mergeCell ref="AV143:AV144"/>
    <mergeCell ref="AV145:AV146"/>
    <mergeCell ref="AV147:AV148"/>
    <mergeCell ref="AV149:AV150"/>
    <mergeCell ref="AV151:AV152"/>
    <mergeCell ref="AV153:AV154"/>
    <mergeCell ref="AV155:AV156"/>
    <mergeCell ref="AV157:AV158"/>
    <mergeCell ref="AV159:AV160"/>
    <mergeCell ref="AV161:AV162"/>
    <mergeCell ref="AV163:AV164"/>
    <mergeCell ref="AV165:AV166"/>
    <mergeCell ref="AV167:AV168"/>
    <mergeCell ref="AV169:AV170"/>
    <mergeCell ref="AV171:AV172"/>
    <mergeCell ref="AV173:AV174"/>
    <mergeCell ref="AV175:AV176"/>
    <mergeCell ref="AV177:AV178"/>
    <mergeCell ref="AV179:AV180"/>
    <mergeCell ref="AV181:AV182"/>
    <mergeCell ref="AV183:AV184"/>
    <mergeCell ref="AV185:AV186"/>
    <mergeCell ref="AV187:AV188"/>
    <mergeCell ref="AV189:AV190"/>
    <mergeCell ref="AV191:AV192"/>
    <mergeCell ref="AV193:AV194"/>
    <mergeCell ref="AV195:AV196"/>
    <mergeCell ref="AV197:AV198"/>
    <mergeCell ref="AV199:AV200"/>
    <mergeCell ref="AV201:AV202"/>
    <mergeCell ref="AV203:AV204"/>
    <mergeCell ref="AV205:AV206"/>
    <mergeCell ref="AV207:AV208"/>
    <mergeCell ref="AV209:AV210"/>
    <mergeCell ref="AV211:AV212"/>
    <mergeCell ref="AV213:AV214"/>
    <mergeCell ref="AV215:AV216"/>
    <mergeCell ref="AV217:AV218"/>
    <mergeCell ref="AV219:AV220"/>
    <mergeCell ref="AV221:AV222"/>
    <mergeCell ref="AV223:AV224"/>
    <mergeCell ref="AV225:AV226"/>
    <mergeCell ref="AV227:AV228"/>
    <mergeCell ref="AV229:AV230"/>
    <mergeCell ref="AV231:AV232"/>
    <mergeCell ref="AV233:AV234"/>
    <mergeCell ref="AV235:AV236"/>
    <mergeCell ref="AV237:AV238"/>
    <mergeCell ref="AV239:AV240"/>
    <mergeCell ref="AV241:AV242"/>
    <mergeCell ref="AV243:AV244"/>
    <mergeCell ref="AV245:AV246"/>
    <mergeCell ref="AV247:AV248"/>
    <mergeCell ref="AV249:AV250"/>
    <mergeCell ref="AV251:AV252"/>
    <mergeCell ref="AV253:AV254"/>
    <mergeCell ref="AV255:AV256"/>
    <mergeCell ref="AV257:AV258"/>
    <mergeCell ref="AV259:AV260"/>
    <mergeCell ref="AV261:AV262"/>
    <mergeCell ref="AV263:AV264"/>
    <mergeCell ref="AV265:AV266"/>
    <mergeCell ref="AV267:AV268"/>
    <mergeCell ref="AV269:AV270"/>
    <mergeCell ref="AV271:AV272"/>
    <mergeCell ref="AV273:AV274"/>
    <mergeCell ref="AV275:AV276"/>
    <mergeCell ref="AV277:AV278"/>
    <mergeCell ref="AV279:AV280"/>
    <mergeCell ref="AV281:AV282"/>
    <mergeCell ref="AV283:AV284"/>
    <mergeCell ref="AV285:AV286"/>
    <mergeCell ref="AV287:AV288"/>
    <mergeCell ref="AV289:AV290"/>
    <mergeCell ref="AV291:AV292"/>
    <mergeCell ref="AV293:AV294"/>
    <mergeCell ref="AV295:AV296"/>
    <mergeCell ref="AV297:AV298"/>
    <mergeCell ref="AV299:AV300"/>
    <mergeCell ref="AV301:AV302"/>
    <mergeCell ref="AV303:AV304"/>
    <mergeCell ref="AV305:AV306"/>
    <mergeCell ref="AV307:AV308"/>
    <mergeCell ref="AV309:AV310"/>
    <mergeCell ref="AV311:AV312"/>
    <mergeCell ref="AV313:AV314"/>
    <mergeCell ref="AV315:AV316"/>
    <mergeCell ref="AV317:AV318"/>
    <mergeCell ref="AV319:AV320"/>
    <mergeCell ref="AV321:AV322"/>
    <mergeCell ref="AV323:AV324"/>
    <mergeCell ref="AV325:AV326"/>
    <mergeCell ref="AV327:AV328"/>
    <mergeCell ref="AV329:AV330"/>
    <mergeCell ref="AV331:AV332"/>
    <mergeCell ref="AV333:AV334"/>
    <mergeCell ref="AV335:AV336"/>
    <mergeCell ref="AV337:AV338"/>
    <mergeCell ref="AV339:AV340"/>
    <mergeCell ref="AV341:AV342"/>
    <mergeCell ref="AV343:AV344"/>
    <mergeCell ref="AV345:AV346"/>
    <mergeCell ref="AV347:AV348"/>
    <mergeCell ref="AV349:AV350"/>
    <mergeCell ref="AV351:AV352"/>
    <mergeCell ref="AV353:AV354"/>
    <mergeCell ref="AV355:AV356"/>
    <mergeCell ref="AV357:AV358"/>
    <mergeCell ref="AV359:AV360"/>
    <mergeCell ref="AV361:AV362"/>
    <mergeCell ref="AV363:AV364"/>
    <mergeCell ref="AV365:AV366"/>
    <mergeCell ref="AV367:AV368"/>
    <mergeCell ref="AV369:AV370"/>
    <mergeCell ref="AV371:AV372"/>
    <mergeCell ref="AV373:AV374"/>
    <mergeCell ref="AV375:AV376"/>
    <mergeCell ref="AV377:AV378"/>
    <mergeCell ref="AV379:AV380"/>
    <mergeCell ref="AV381:AV382"/>
    <mergeCell ref="AV383:AV384"/>
    <mergeCell ref="AV385:AV386"/>
    <mergeCell ref="AW3:AW4"/>
    <mergeCell ref="AW5:AW6"/>
    <mergeCell ref="AW7:AW8"/>
    <mergeCell ref="AW9:AW10"/>
    <mergeCell ref="AW11:AW12"/>
    <mergeCell ref="AW13:AW14"/>
    <mergeCell ref="AW15:AW16"/>
    <mergeCell ref="AW17:AW18"/>
    <mergeCell ref="AW19:AW20"/>
    <mergeCell ref="AW21:AW22"/>
    <mergeCell ref="AW23:AW24"/>
    <mergeCell ref="AW25:AW26"/>
    <mergeCell ref="AW27:AW28"/>
    <mergeCell ref="AW29:AW30"/>
    <mergeCell ref="AW31:AW32"/>
    <mergeCell ref="AW33:AW34"/>
    <mergeCell ref="AW35:AW36"/>
    <mergeCell ref="AW37:AW38"/>
    <mergeCell ref="AW39:AW40"/>
    <mergeCell ref="AW41:AW42"/>
    <mergeCell ref="AW43:AW44"/>
    <mergeCell ref="AW45:AW46"/>
    <mergeCell ref="AW47:AW48"/>
    <mergeCell ref="AW49:AW50"/>
    <mergeCell ref="AW51:AW52"/>
    <mergeCell ref="AW53:AW54"/>
    <mergeCell ref="AW55:AW56"/>
    <mergeCell ref="AW57:AW58"/>
    <mergeCell ref="AW59:AW60"/>
    <mergeCell ref="AW61:AW62"/>
    <mergeCell ref="AW63:AW64"/>
    <mergeCell ref="AW65:AW66"/>
    <mergeCell ref="AW67:AW68"/>
    <mergeCell ref="AW69:AW70"/>
    <mergeCell ref="AW71:AW72"/>
    <mergeCell ref="AW73:AW74"/>
    <mergeCell ref="AW75:AW76"/>
    <mergeCell ref="AW77:AW78"/>
    <mergeCell ref="AW79:AW80"/>
    <mergeCell ref="AW81:AW82"/>
    <mergeCell ref="AW83:AW84"/>
    <mergeCell ref="AW85:AW86"/>
    <mergeCell ref="AW87:AW88"/>
    <mergeCell ref="AW89:AW90"/>
    <mergeCell ref="AW91:AW92"/>
    <mergeCell ref="AW93:AW94"/>
    <mergeCell ref="AW95:AW96"/>
    <mergeCell ref="AW97:AW98"/>
    <mergeCell ref="AW99:AW100"/>
    <mergeCell ref="AW101:AW102"/>
    <mergeCell ref="AW103:AW104"/>
    <mergeCell ref="AW105:AW106"/>
    <mergeCell ref="AW107:AW108"/>
    <mergeCell ref="AW109:AW110"/>
    <mergeCell ref="AW111:AW112"/>
    <mergeCell ref="AW113:AW114"/>
    <mergeCell ref="AW115:AW116"/>
    <mergeCell ref="AW117:AW118"/>
    <mergeCell ref="AW119:AW120"/>
    <mergeCell ref="AW121:AW122"/>
    <mergeCell ref="AW123:AW124"/>
    <mergeCell ref="AW125:AW126"/>
    <mergeCell ref="AW127:AW128"/>
    <mergeCell ref="AW129:AW130"/>
    <mergeCell ref="AW131:AW132"/>
    <mergeCell ref="AW133:AW134"/>
    <mergeCell ref="AW135:AW136"/>
    <mergeCell ref="AW137:AW138"/>
    <mergeCell ref="AW139:AW140"/>
    <mergeCell ref="AW141:AW142"/>
    <mergeCell ref="AW143:AW144"/>
    <mergeCell ref="AW145:AW146"/>
    <mergeCell ref="AW147:AW148"/>
    <mergeCell ref="AW149:AW150"/>
    <mergeCell ref="AW151:AW152"/>
    <mergeCell ref="AW153:AW154"/>
    <mergeCell ref="AW155:AW156"/>
    <mergeCell ref="AW157:AW158"/>
    <mergeCell ref="AW159:AW160"/>
    <mergeCell ref="AW161:AW162"/>
    <mergeCell ref="AW163:AW164"/>
    <mergeCell ref="AW165:AW166"/>
    <mergeCell ref="AW167:AW168"/>
    <mergeCell ref="AW169:AW170"/>
    <mergeCell ref="AW171:AW172"/>
    <mergeCell ref="AW173:AW174"/>
    <mergeCell ref="AW175:AW176"/>
    <mergeCell ref="AW177:AW178"/>
    <mergeCell ref="AW179:AW180"/>
    <mergeCell ref="AW181:AW182"/>
    <mergeCell ref="AW183:AW184"/>
    <mergeCell ref="AW185:AW186"/>
    <mergeCell ref="AW187:AW188"/>
    <mergeCell ref="AW189:AW190"/>
    <mergeCell ref="AW191:AW192"/>
    <mergeCell ref="AW193:AW194"/>
    <mergeCell ref="AW195:AW196"/>
    <mergeCell ref="AW197:AW198"/>
    <mergeCell ref="AW199:AW200"/>
    <mergeCell ref="AW201:AW202"/>
    <mergeCell ref="AW203:AW204"/>
    <mergeCell ref="AW205:AW206"/>
    <mergeCell ref="AW207:AW208"/>
    <mergeCell ref="AW209:AW210"/>
    <mergeCell ref="AW211:AW212"/>
    <mergeCell ref="AW213:AW214"/>
    <mergeCell ref="AW215:AW216"/>
    <mergeCell ref="AW217:AW218"/>
    <mergeCell ref="AW219:AW220"/>
    <mergeCell ref="AW221:AW222"/>
    <mergeCell ref="AW223:AW224"/>
    <mergeCell ref="AW225:AW226"/>
    <mergeCell ref="AW227:AW228"/>
    <mergeCell ref="AW229:AW230"/>
    <mergeCell ref="AW231:AW232"/>
    <mergeCell ref="AW233:AW234"/>
    <mergeCell ref="AW235:AW236"/>
    <mergeCell ref="AW237:AW238"/>
    <mergeCell ref="AW239:AW240"/>
    <mergeCell ref="AW241:AW242"/>
    <mergeCell ref="AW243:AW244"/>
    <mergeCell ref="AW245:AW246"/>
    <mergeCell ref="AW247:AW248"/>
    <mergeCell ref="AW249:AW250"/>
    <mergeCell ref="AW251:AW252"/>
    <mergeCell ref="AW253:AW254"/>
    <mergeCell ref="AW255:AW256"/>
    <mergeCell ref="AW257:AW258"/>
    <mergeCell ref="AW259:AW260"/>
    <mergeCell ref="AW261:AW262"/>
    <mergeCell ref="AW263:AW264"/>
    <mergeCell ref="AW265:AW266"/>
    <mergeCell ref="AW267:AW268"/>
    <mergeCell ref="AW269:AW270"/>
    <mergeCell ref="AW271:AW272"/>
    <mergeCell ref="AW273:AW274"/>
    <mergeCell ref="AW275:AW276"/>
    <mergeCell ref="AW277:AW278"/>
    <mergeCell ref="AW279:AW280"/>
    <mergeCell ref="AW281:AW282"/>
    <mergeCell ref="AW283:AW284"/>
    <mergeCell ref="AW285:AW286"/>
    <mergeCell ref="AW287:AW288"/>
    <mergeCell ref="AW289:AW290"/>
    <mergeCell ref="AW291:AW292"/>
    <mergeCell ref="AW293:AW294"/>
    <mergeCell ref="AW295:AW296"/>
    <mergeCell ref="AW297:AW298"/>
    <mergeCell ref="AW299:AW300"/>
    <mergeCell ref="AW301:AW302"/>
    <mergeCell ref="AW303:AW304"/>
    <mergeCell ref="AW305:AW306"/>
    <mergeCell ref="AW307:AW308"/>
    <mergeCell ref="AW309:AW310"/>
    <mergeCell ref="AW311:AW312"/>
    <mergeCell ref="AW313:AW314"/>
    <mergeCell ref="AW315:AW316"/>
    <mergeCell ref="AW317:AW318"/>
    <mergeCell ref="AW319:AW320"/>
    <mergeCell ref="AW321:AW322"/>
    <mergeCell ref="AW323:AW324"/>
    <mergeCell ref="AW325:AW326"/>
    <mergeCell ref="AW327:AW328"/>
    <mergeCell ref="AW329:AW330"/>
    <mergeCell ref="AW331:AW332"/>
    <mergeCell ref="AW333:AW334"/>
    <mergeCell ref="AW335:AW336"/>
    <mergeCell ref="AW337:AW338"/>
    <mergeCell ref="AW339:AW340"/>
    <mergeCell ref="AW341:AW342"/>
    <mergeCell ref="AW343:AW344"/>
    <mergeCell ref="AW345:AW346"/>
    <mergeCell ref="AW347:AW348"/>
    <mergeCell ref="AW349:AW350"/>
    <mergeCell ref="AW351:AW352"/>
    <mergeCell ref="AW353:AW354"/>
    <mergeCell ref="AW355:AW356"/>
    <mergeCell ref="AW357:AW358"/>
    <mergeCell ref="AW359:AW360"/>
    <mergeCell ref="AW361:AW362"/>
    <mergeCell ref="AW363:AW364"/>
    <mergeCell ref="AW365:AW366"/>
    <mergeCell ref="AW367:AW368"/>
    <mergeCell ref="AW369:AW370"/>
    <mergeCell ref="AW371:AW372"/>
    <mergeCell ref="AW373:AW374"/>
    <mergeCell ref="AW375:AW376"/>
    <mergeCell ref="AW377:AW378"/>
    <mergeCell ref="AW379:AW380"/>
    <mergeCell ref="AW381:AW382"/>
    <mergeCell ref="AW383:AW384"/>
    <mergeCell ref="AW385:AW386"/>
    <mergeCell ref="AX3:AX4"/>
    <mergeCell ref="AX5:AX6"/>
    <mergeCell ref="AX7:AX8"/>
    <mergeCell ref="AX9:AX10"/>
    <mergeCell ref="AX11:AX12"/>
    <mergeCell ref="AX13:AX14"/>
    <mergeCell ref="AX15:AX16"/>
    <mergeCell ref="AX17:AX18"/>
    <mergeCell ref="AX19:AX20"/>
    <mergeCell ref="AX21:AX22"/>
    <mergeCell ref="AX23:AX24"/>
    <mergeCell ref="AX25:AX26"/>
    <mergeCell ref="AX27:AX28"/>
    <mergeCell ref="AX29:AX30"/>
    <mergeCell ref="AX31:AX32"/>
    <mergeCell ref="AX33:AX34"/>
    <mergeCell ref="AX35:AX36"/>
    <mergeCell ref="AX37:AX38"/>
    <mergeCell ref="AX39:AX40"/>
    <mergeCell ref="AX41:AX42"/>
    <mergeCell ref="AX43:AX44"/>
    <mergeCell ref="AX45:AX46"/>
    <mergeCell ref="AX47:AX48"/>
    <mergeCell ref="AX49:AX50"/>
    <mergeCell ref="AX51:AX52"/>
    <mergeCell ref="AX53:AX54"/>
    <mergeCell ref="AX55:AX56"/>
    <mergeCell ref="AX57:AX58"/>
    <mergeCell ref="AX59:AX60"/>
    <mergeCell ref="AX61:AX62"/>
    <mergeCell ref="AX63:AX64"/>
    <mergeCell ref="AX65:AX66"/>
    <mergeCell ref="AX67:AX68"/>
    <mergeCell ref="AX69:AX70"/>
    <mergeCell ref="AX71:AX72"/>
    <mergeCell ref="AX73:AX74"/>
    <mergeCell ref="AX75:AX76"/>
    <mergeCell ref="AX77:AX78"/>
    <mergeCell ref="AX79:AX80"/>
    <mergeCell ref="AX81:AX82"/>
    <mergeCell ref="AX83:AX84"/>
    <mergeCell ref="AX85:AX86"/>
    <mergeCell ref="AX87:AX88"/>
    <mergeCell ref="AX89:AX90"/>
    <mergeCell ref="AX91:AX92"/>
    <mergeCell ref="AX93:AX94"/>
    <mergeCell ref="AX95:AX96"/>
    <mergeCell ref="AX97:AX98"/>
    <mergeCell ref="AX99:AX100"/>
    <mergeCell ref="AX101:AX102"/>
    <mergeCell ref="AX103:AX104"/>
    <mergeCell ref="AX105:AX106"/>
    <mergeCell ref="AX107:AX108"/>
    <mergeCell ref="AX109:AX110"/>
    <mergeCell ref="AX111:AX112"/>
    <mergeCell ref="AX113:AX114"/>
    <mergeCell ref="AX115:AX116"/>
    <mergeCell ref="AX117:AX118"/>
    <mergeCell ref="AX119:AX120"/>
    <mergeCell ref="AX121:AX122"/>
    <mergeCell ref="AX123:AX124"/>
    <mergeCell ref="AX125:AX126"/>
    <mergeCell ref="AX127:AX128"/>
    <mergeCell ref="AX129:AX130"/>
    <mergeCell ref="AX131:AX132"/>
    <mergeCell ref="AX133:AX134"/>
    <mergeCell ref="AX135:AX136"/>
    <mergeCell ref="AX137:AX138"/>
    <mergeCell ref="AX139:AX140"/>
    <mergeCell ref="AX141:AX142"/>
    <mergeCell ref="AX143:AX144"/>
    <mergeCell ref="AX145:AX146"/>
    <mergeCell ref="AX147:AX148"/>
    <mergeCell ref="AX149:AX150"/>
    <mergeCell ref="AX151:AX152"/>
    <mergeCell ref="AX153:AX154"/>
    <mergeCell ref="AX155:AX156"/>
    <mergeCell ref="AX157:AX158"/>
    <mergeCell ref="AX159:AX160"/>
    <mergeCell ref="AX161:AX162"/>
    <mergeCell ref="AX163:AX164"/>
    <mergeCell ref="AX165:AX166"/>
    <mergeCell ref="AX167:AX168"/>
    <mergeCell ref="AX169:AX170"/>
    <mergeCell ref="AX171:AX172"/>
    <mergeCell ref="AX173:AX174"/>
    <mergeCell ref="AX175:AX176"/>
    <mergeCell ref="AX177:AX178"/>
    <mergeCell ref="AX179:AX180"/>
    <mergeCell ref="AX181:AX182"/>
    <mergeCell ref="AX183:AX184"/>
    <mergeCell ref="AX185:AX186"/>
    <mergeCell ref="AX187:AX188"/>
    <mergeCell ref="AX189:AX190"/>
    <mergeCell ref="AX191:AX192"/>
    <mergeCell ref="AX193:AX194"/>
    <mergeCell ref="AX195:AX196"/>
    <mergeCell ref="AX197:AX198"/>
    <mergeCell ref="AX199:AX200"/>
    <mergeCell ref="AX201:AX202"/>
    <mergeCell ref="AX203:AX204"/>
    <mergeCell ref="AX205:AX206"/>
    <mergeCell ref="AX207:AX208"/>
    <mergeCell ref="AX209:AX210"/>
    <mergeCell ref="AX211:AX212"/>
    <mergeCell ref="AX213:AX214"/>
    <mergeCell ref="AX215:AX216"/>
    <mergeCell ref="AX217:AX218"/>
    <mergeCell ref="AX219:AX220"/>
    <mergeCell ref="AX221:AX222"/>
    <mergeCell ref="AX223:AX224"/>
    <mergeCell ref="AX225:AX226"/>
    <mergeCell ref="AX227:AX228"/>
    <mergeCell ref="AX229:AX230"/>
    <mergeCell ref="AX231:AX232"/>
    <mergeCell ref="AX233:AX234"/>
    <mergeCell ref="AX235:AX236"/>
    <mergeCell ref="AX237:AX238"/>
    <mergeCell ref="AX239:AX240"/>
    <mergeCell ref="AX241:AX242"/>
    <mergeCell ref="AX243:AX244"/>
    <mergeCell ref="AX245:AX246"/>
    <mergeCell ref="AX247:AX248"/>
    <mergeCell ref="AX249:AX250"/>
    <mergeCell ref="AX251:AX252"/>
    <mergeCell ref="AX253:AX254"/>
    <mergeCell ref="AX255:AX256"/>
    <mergeCell ref="AX257:AX258"/>
    <mergeCell ref="AX259:AX260"/>
    <mergeCell ref="AX261:AX262"/>
    <mergeCell ref="AX263:AX264"/>
    <mergeCell ref="AX265:AX266"/>
    <mergeCell ref="AX267:AX268"/>
    <mergeCell ref="AX269:AX270"/>
    <mergeCell ref="AX271:AX272"/>
    <mergeCell ref="AX273:AX274"/>
    <mergeCell ref="AX275:AX276"/>
    <mergeCell ref="AX277:AX278"/>
    <mergeCell ref="AX279:AX280"/>
    <mergeCell ref="AX281:AX282"/>
    <mergeCell ref="AX283:AX284"/>
    <mergeCell ref="AX285:AX286"/>
    <mergeCell ref="AX287:AX288"/>
    <mergeCell ref="AX289:AX290"/>
    <mergeCell ref="AX291:AX292"/>
    <mergeCell ref="AX293:AX294"/>
    <mergeCell ref="AX295:AX296"/>
    <mergeCell ref="AX297:AX298"/>
    <mergeCell ref="AX299:AX300"/>
    <mergeCell ref="AX301:AX302"/>
    <mergeCell ref="AX303:AX304"/>
    <mergeCell ref="AX305:AX306"/>
    <mergeCell ref="AX307:AX308"/>
    <mergeCell ref="AX309:AX310"/>
    <mergeCell ref="AX311:AX312"/>
    <mergeCell ref="AX313:AX314"/>
    <mergeCell ref="AX315:AX316"/>
    <mergeCell ref="AX317:AX318"/>
    <mergeCell ref="AX319:AX320"/>
    <mergeCell ref="AX321:AX322"/>
    <mergeCell ref="AX323:AX324"/>
    <mergeCell ref="AX325:AX326"/>
    <mergeCell ref="AX327:AX328"/>
    <mergeCell ref="AX329:AX330"/>
    <mergeCell ref="AX331:AX332"/>
    <mergeCell ref="AX333:AX334"/>
    <mergeCell ref="AX335:AX336"/>
    <mergeCell ref="AX337:AX338"/>
    <mergeCell ref="AX339:AX340"/>
    <mergeCell ref="AX341:AX342"/>
    <mergeCell ref="AX343:AX344"/>
    <mergeCell ref="AX345:AX346"/>
    <mergeCell ref="AX347:AX348"/>
    <mergeCell ref="AX349:AX350"/>
    <mergeCell ref="AX351:AX352"/>
    <mergeCell ref="AX353:AX354"/>
    <mergeCell ref="AX355:AX356"/>
    <mergeCell ref="AX357:AX358"/>
    <mergeCell ref="AX359:AX360"/>
    <mergeCell ref="AX361:AX362"/>
    <mergeCell ref="AX363:AX364"/>
    <mergeCell ref="AX365:AX366"/>
    <mergeCell ref="AX367:AX368"/>
    <mergeCell ref="AX369:AX370"/>
    <mergeCell ref="AX371:AX372"/>
    <mergeCell ref="AX373:AX374"/>
    <mergeCell ref="AX375:AX376"/>
    <mergeCell ref="AX377:AX378"/>
    <mergeCell ref="AX379:AX380"/>
    <mergeCell ref="AX381:AX382"/>
    <mergeCell ref="AX383:AX384"/>
    <mergeCell ref="AX385:AX386"/>
    <mergeCell ref="AY3:AY4"/>
    <mergeCell ref="AY5:AY6"/>
    <mergeCell ref="AY7:AY8"/>
    <mergeCell ref="AY9:AY10"/>
    <mergeCell ref="AY11:AY12"/>
    <mergeCell ref="AY13:AY14"/>
    <mergeCell ref="AY15:AY16"/>
    <mergeCell ref="AY17:AY18"/>
    <mergeCell ref="AY19:AY20"/>
    <mergeCell ref="AY21:AY22"/>
    <mergeCell ref="AY23:AY24"/>
    <mergeCell ref="AY25:AY26"/>
    <mergeCell ref="AY27:AY28"/>
    <mergeCell ref="AY29:AY30"/>
    <mergeCell ref="AY31:AY32"/>
    <mergeCell ref="AY33:AY34"/>
    <mergeCell ref="AY35:AY36"/>
    <mergeCell ref="AY37:AY38"/>
    <mergeCell ref="AY39:AY40"/>
    <mergeCell ref="AY41:AY42"/>
    <mergeCell ref="AY43:AY44"/>
    <mergeCell ref="AY45:AY46"/>
    <mergeCell ref="AY47:AY48"/>
    <mergeCell ref="AY49:AY50"/>
    <mergeCell ref="AY51:AY52"/>
    <mergeCell ref="AY53:AY54"/>
    <mergeCell ref="AY55:AY56"/>
    <mergeCell ref="AY57:AY58"/>
    <mergeCell ref="AY59:AY60"/>
    <mergeCell ref="AY61:AY62"/>
    <mergeCell ref="AY63:AY64"/>
    <mergeCell ref="AY65:AY66"/>
    <mergeCell ref="AY67:AY68"/>
    <mergeCell ref="AY69:AY70"/>
    <mergeCell ref="AY71:AY72"/>
    <mergeCell ref="AY73:AY74"/>
    <mergeCell ref="AY75:AY76"/>
    <mergeCell ref="AY77:AY78"/>
    <mergeCell ref="AY79:AY80"/>
    <mergeCell ref="AY81:AY82"/>
    <mergeCell ref="AY83:AY84"/>
    <mergeCell ref="AY85:AY86"/>
    <mergeCell ref="AY87:AY88"/>
    <mergeCell ref="AY89:AY90"/>
    <mergeCell ref="AY91:AY92"/>
    <mergeCell ref="AY93:AY94"/>
    <mergeCell ref="AY95:AY96"/>
    <mergeCell ref="AY97:AY98"/>
    <mergeCell ref="AY99:AY100"/>
    <mergeCell ref="AY101:AY102"/>
    <mergeCell ref="AY103:AY104"/>
    <mergeCell ref="AY105:AY106"/>
    <mergeCell ref="AY107:AY108"/>
    <mergeCell ref="AY109:AY110"/>
    <mergeCell ref="AY111:AY112"/>
    <mergeCell ref="AY113:AY114"/>
    <mergeCell ref="AY115:AY116"/>
    <mergeCell ref="AY117:AY118"/>
    <mergeCell ref="AY119:AY120"/>
    <mergeCell ref="AY121:AY122"/>
    <mergeCell ref="AY123:AY124"/>
    <mergeCell ref="AY125:AY126"/>
    <mergeCell ref="AY127:AY128"/>
    <mergeCell ref="AY129:AY130"/>
    <mergeCell ref="AY131:AY132"/>
    <mergeCell ref="AY133:AY134"/>
    <mergeCell ref="AY135:AY136"/>
    <mergeCell ref="AY137:AY138"/>
    <mergeCell ref="AY139:AY140"/>
    <mergeCell ref="AY141:AY142"/>
    <mergeCell ref="AY143:AY144"/>
    <mergeCell ref="AY145:AY146"/>
    <mergeCell ref="AY147:AY148"/>
    <mergeCell ref="AY149:AY150"/>
    <mergeCell ref="AY151:AY152"/>
    <mergeCell ref="AY153:AY154"/>
    <mergeCell ref="AY155:AY156"/>
    <mergeCell ref="AY157:AY158"/>
    <mergeCell ref="AY159:AY160"/>
    <mergeCell ref="AY161:AY162"/>
    <mergeCell ref="AY163:AY164"/>
    <mergeCell ref="AY165:AY166"/>
    <mergeCell ref="AY167:AY168"/>
    <mergeCell ref="AY169:AY170"/>
    <mergeCell ref="AY171:AY172"/>
    <mergeCell ref="AY173:AY174"/>
    <mergeCell ref="AY175:AY176"/>
    <mergeCell ref="AY177:AY178"/>
    <mergeCell ref="AY179:AY180"/>
    <mergeCell ref="AY181:AY182"/>
    <mergeCell ref="AY183:AY184"/>
    <mergeCell ref="AY185:AY186"/>
    <mergeCell ref="AY187:AY188"/>
    <mergeCell ref="AY189:AY190"/>
    <mergeCell ref="AY191:AY192"/>
    <mergeCell ref="AY193:AY194"/>
    <mergeCell ref="AY195:AY196"/>
    <mergeCell ref="AY197:AY198"/>
    <mergeCell ref="AY199:AY200"/>
    <mergeCell ref="AY201:AY202"/>
    <mergeCell ref="AY203:AY204"/>
    <mergeCell ref="AY205:AY206"/>
    <mergeCell ref="AY207:AY208"/>
    <mergeCell ref="AY209:AY210"/>
    <mergeCell ref="AY211:AY212"/>
    <mergeCell ref="AY213:AY214"/>
    <mergeCell ref="AY215:AY216"/>
    <mergeCell ref="AY217:AY218"/>
    <mergeCell ref="AY219:AY220"/>
    <mergeCell ref="AY221:AY222"/>
    <mergeCell ref="AY223:AY224"/>
    <mergeCell ref="AY225:AY226"/>
    <mergeCell ref="AY227:AY228"/>
    <mergeCell ref="AY229:AY230"/>
    <mergeCell ref="AY231:AY232"/>
    <mergeCell ref="AY233:AY234"/>
    <mergeCell ref="AY235:AY236"/>
    <mergeCell ref="AY237:AY238"/>
    <mergeCell ref="AY239:AY240"/>
    <mergeCell ref="AY241:AY242"/>
    <mergeCell ref="AY243:AY244"/>
    <mergeCell ref="AY245:AY246"/>
    <mergeCell ref="AY247:AY248"/>
    <mergeCell ref="AY249:AY250"/>
    <mergeCell ref="AY251:AY252"/>
    <mergeCell ref="AY253:AY254"/>
    <mergeCell ref="AY255:AY256"/>
    <mergeCell ref="AY257:AY258"/>
    <mergeCell ref="AY259:AY260"/>
    <mergeCell ref="AY261:AY262"/>
    <mergeCell ref="AY263:AY264"/>
    <mergeCell ref="AY265:AY266"/>
    <mergeCell ref="AY267:AY268"/>
    <mergeCell ref="AY269:AY270"/>
    <mergeCell ref="AY271:AY272"/>
    <mergeCell ref="AY273:AY274"/>
    <mergeCell ref="AY275:AY276"/>
    <mergeCell ref="AY277:AY278"/>
    <mergeCell ref="AY279:AY280"/>
    <mergeCell ref="AY281:AY282"/>
    <mergeCell ref="AY283:AY284"/>
    <mergeCell ref="AY285:AY286"/>
    <mergeCell ref="AY287:AY288"/>
    <mergeCell ref="AY289:AY290"/>
    <mergeCell ref="AY291:AY292"/>
    <mergeCell ref="AY293:AY294"/>
    <mergeCell ref="AY295:AY296"/>
    <mergeCell ref="AY297:AY298"/>
    <mergeCell ref="AY299:AY300"/>
    <mergeCell ref="AY301:AY302"/>
    <mergeCell ref="AY303:AY304"/>
    <mergeCell ref="AY305:AY306"/>
    <mergeCell ref="AY307:AY308"/>
    <mergeCell ref="AY309:AY310"/>
    <mergeCell ref="AY311:AY312"/>
    <mergeCell ref="AY313:AY314"/>
    <mergeCell ref="AY315:AY316"/>
    <mergeCell ref="AY317:AY318"/>
    <mergeCell ref="AY319:AY320"/>
    <mergeCell ref="AY321:AY322"/>
    <mergeCell ref="AY323:AY324"/>
    <mergeCell ref="AY325:AY326"/>
    <mergeCell ref="AY327:AY328"/>
    <mergeCell ref="AY329:AY330"/>
    <mergeCell ref="AY331:AY332"/>
    <mergeCell ref="AY333:AY334"/>
    <mergeCell ref="AY335:AY336"/>
    <mergeCell ref="AY337:AY338"/>
    <mergeCell ref="AY339:AY340"/>
    <mergeCell ref="AY341:AY342"/>
    <mergeCell ref="AY343:AY344"/>
    <mergeCell ref="AY345:AY346"/>
    <mergeCell ref="AY347:AY348"/>
    <mergeCell ref="AY349:AY350"/>
    <mergeCell ref="AY351:AY352"/>
    <mergeCell ref="AY353:AY354"/>
    <mergeCell ref="AY355:AY356"/>
    <mergeCell ref="AY357:AY358"/>
    <mergeCell ref="AY359:AY360"/>
    <mergeCell ref="AY361:AY362"/>
    <mergeCell ref="AY363:AY364"/>
    <mergeCell ref="AY365:AY366"/>
    <mergeCell ref="AY367:AY368"/>
    <mergeCell ref="AY369:AY370"/>
    <mergeCell ref="AY371:AY372"/>
    <mergeCell ref="AY373:AY374"/>
    <mergeCell ref="AY375:AY376"/>
    <mergeCell ref="AY377:AY378"/>
    <mergeCell ref="AY379:AY380"/>
    <mergeCell ref="AY381:AY382"/>
    <mergeCell ref="AY383:AY384"/>
    <mergeCell ref="AY385:AY386"/>
    <mergeCell ref="AZ3:AZ4"/>
    <mergeCell ref="AZ5:AZ6"/>
    <mergeCell ref="AZ7:AZ8"/>
    <mergeCell ref="AZ9:AZ10"/>
    <mergeCell ref="AZ11:AZ12"/>
    <mergeCell ref="AZ13:AZ14"/>
    <mergeCell ref="AZ15:AZ16"/>
    <mergeCell ref="AZ17:AZ18"/>
    <mergeCell ref="AZ19:AZ20"/>
    <mergeCell ref="AZ21:AZ22"/>
    <mergeCell ref="AZ23:AZ24"/>
    <mergeCell ref="AZ25:AZ26"/>
    <mergeCell ref="AZ27:AZ28"/>
    <mergeCell ref="AZ29:AZ30"/>
    <mergeCell ref="AZ31:AZ32"/>
    <mergeCell ref="AZ33:AZ34"/>
    <mergeCell ref="AZ35:AZ36"/>
    <mergeCell ref="AZ37:AZ38"/>
    <mergeCell ref="AZ39:AZ40"/>
    <mergeCell ref="AZ41:AZ42"/>
    <mergeCell ref="AZ43:AZ44"/>
    <mergeCell ref="AZ45:AZ46"/>
    <mergeCell ref="AZ47:AZ48"/>
    <mergeCell ref="AZ49:AZ50"/>
    <mergeCell ref="AZ51:AZ52"/>
    <mergeCell ref="AZ53:AZ54"/>
    <mergeCell ref="AZ55:AZ56"/>
    <mergeCell ref="AZ57:AZ58"/>
    <mergeCell ref="AZ59:AZ60"/>
    <mergeCell ref="AZ61:AZ62"/>
    <mergeCell ref="AZ63:AZ64"/>
    <mergeCell ref="AZ65:AZ66"/>
    <mergeCell ref="AZ67:AZ68"/>
    <mergeCell ref="AZ69:AZ70"/>
    <mergeCell ref="AZ71:AZ72"/>
    <mergeCell ref="AZ73:AZ74"/>
    <mergeCell ref="AZ75:AZ76"/>
    <mergeCell ref="AZ77:AZ78"/>
    <mergeCell ref="AZ79:AZ80"/>
    <mergeCell ref="AZ81:AZ82"/>
    <mergeCell ref="AZ83:AZ84"/>
    <mergeCell ref="AZ85:AZ86"/>
    <mergeCell ref="AZ87:AZ88"/>
    <mergeCell ref="AZ89:AZ90"/>
    <mergeCell ref="AZ91:AZ92"/>
    <mergeCell ref="AZ93:AZ94"/>
    <mergeCell ref="AZ95:AZ96"/>
    <mergeCell ref="AZ97:AZ98"/>
    <mergeCell ref="AZ99:AZ100"/>
    <mergeCell ref="AZ101:AZ102"/>
    <mergeCell ref="AZ103:AZ104"/>
    <mergeCell ref="AZ105:AZ106"/>
    <mergeCell ref="AZ107:AZ108"/>
    <mergeCell ref="AZ109:AZ110"/>
    <mergeCell ref="AZ111:AZ112"/>
    <mergeCell ref="AZ113:AZ114"/>
    <mergeCell ref="AZ115:AZ116"/>
    <mergeCell ref="AZ117:AZ118"/>
    <mergeCell ref="AZ119:AZ120"/>
    <mergeCell ref="AZ121:AZ122"/>
    <mergeCell ref="AZ123:AZ124"/>
    <mergeCell ref="AZ125:AZ126"/>
    <mergeCell ref="AZ127:AZ128"/>
    <mergeCell ref="AZ129:AZ130"/>
    <mergeCell ref="AZ131:AZ132"/>
    <mergeCell ref="AZ133:AZ134"/>
    <mergeCell ref="AZ135:AZ136"/>
    <mergeCell ref="AZ137:AZ138"/>
    <mergeCell ref="AZ139:AZ140"/>
    <mergeCell ref="AZ141:AZ142"/>
    <mergeCell ref="AZ143:AZ144"/>
    <mergeCell ref="AZ145:AZ146"/>
    <mergeCell ref="AZ147:AZ148"/>
    <mergeCell ref="AZ149:AZ150"/>
    <mergeCell ref="AZ151:AZ152"/>
    <mergeCell ref="AZ153:AZ154"/>
    <mergeCell ref="AZ155:AZ156"/>
    <mergeCell ref="AZ157:AZ158"/>
    <mergeCell ref="AZ159:AZ160"/>
    <mergeCell ref="AZ161:AZ162"/>
    <mergeCell ref="AZ163:AZ164"/>
    <mergeCell ref="AZ165:AZ166"/>
    <mergeCell ref="AZ167:AZ168"/>
    <mergeCell ref="AZ169:AZ170"/>
    <mergeCell ref="AZ171:AZ172"/>
    <mergeCell ref="AZ173:AZ174"/>
    <mergeCell ref="AZ175:AZ176"/>
    <mergeCell ref="AZ177:AZ178"/>
    <mergeCell ref="AZ179:AZ180"/>
    <mergeCell ref="AZ181:AZ182"/>
    <mergeCell ref="AZ183:AZ184"/>
    <mergeCell ref="AZ185:AZ186"/>
    <mergeCell ref="AZ187:AZ188"/>
    <mergeCell ref="AZ189:AZ190"/>
    <mergeCell ref="AZ191:AZ192"/>
    <mergeCell ref="AZ193:AZ194"/>
    <mergeCell ref="AZ195:AZ196"/>
    <mergeCell ref="AZ197:AZ198"/>
    <mergeCell ref="AZ199:AZ200"/>
    <mergeCell ref="AZ201:AZ202"/>
    <mergeCell ref="AZ203:AZ204"/>
    <mergeCell ref="AZ205:AZ206"/>
    <mergeCell ref="AZ207:AZ208"/>
    <mergeCell ref="AZ209:AZ210"/>
    <mergeCell ref="AZ211:AZ212"/>
    <mergeCell ref="AZ213:AZ214"/>
    <mergeCell ref="AZ215:AZ216"/>
    <mergeCell ref="AZ217:AZ218"/>
    <mergeCell ref="AZ219:AZ220"/>
    <mergeCell ref="AZ221:AZ222"/>
    <mergeCell ref="AZ223:AZ224"/>
    <mergeCell ref="AZ225:AZ226"/>
    <mergeCell ref="AZ227:AZ228"/>
    <mergeCell ref="AZ229:AZ230"/>
    <mergeCell ref="AZ231:AZ232"/>
    <mergeCell ref="AZ233:AZ234"/>
    <mergeCell ref="AZ235:AZ236"/>
    <mergeCell ref="AZ237:AZ238"/>
    <mergeCell ref="AZ239:AZ240"/>
    <mergeCell ref="AZ241:AZ242"/>
    <mergeCell ref="AZ243:AZ244"/>
    <mergeCell ref="AZ245:AZ246"/>
    <mergeCell ref="AZ247:AZ248"/>
    <mergeCell ref="AZ249:AZ250"/>
    <mergeCell ref="AZ251:AZ252"/>
    <mergeCell ref="AZ253:AZ254"/>
    <mergeCell ref="AZ255:AZ256"/>
    <mergeCell ref="AZ257:AZ258"/>
    <mergeCell ref="AZ259:AZ260"/>
    <mergeCell ref="AZ261:AZ262"/>
    <mergeCell ref="AZ263:AZ264"/>
    <mergeCell ref="AZ265:AZ266"/>
    <mergeCell ref="AZ267:AZ268"/>
    <mergeCell ref="AZ269:AZ270"/>
    <mergeCell ref="AZ271:AZ272"/>
    <mergeCell ref="AZ273:AZ274"/>
    <mergeCell ref="AZ275:AZ276"/>
    <mergeCell ref="AZ277:AZ278"/>
    <mergeCell ref="AZ279:AZ280"/>
    <mergeCell ref="AZ281:AZ282"/>
    <mergeCell ref="AZ283:AZ284"/>
    <mergeCell ref="AZ285:AZ286"/>
    <mergeCell ref="AZ287:AZ288"/>
    <mergeCell ref="AZ289:AZ290"/>
    <mergeCell ref="AZ291:AZ292"/>
    <mergeCell ref="AZ293:AZ294"/>
    <mergeCell ref="AZ295:AZ296"/>
    <mergeCell ref="AZ297:AZ298"/>
    <mergeCell ref="AZ299:AZ300"/>
    <mergeCell ref="AZ301:AZ302"/>
    <mergeCell ref="AZ303:AZ304"/>
    <mergeCell ref="AZ305:AZ306"/>
    <mergeCell ref="AZ307:AZ308"/>
    <mergeCell ref="AZ309:AZ310"/>
    <mergeCell ref="AZ311:AZ312"/>
    <mergeCell ref="AZ313:AZ314"/>
    <mergeCell ref="AZ315:AZ316"/>
    <mergeCell ref="AZ317:AZ318"/>
    <mergeCell ref="AZ319:AZ320"/>
    <mergeCell ref="AZ321:AZ322"/>
    <mergeCell ref="AZ323:AZ324"/>
    <mergeCell ref="AZ325:AZ326"/>
    <mergeCell ref="AZ327:AZ328"/>
    <mergeCell ref="AZ329:AZ330"/>
    <mergeCell ref="AZ331:AZ332"/>
    <mergeCell ref="AZ333:AZ334"/>
    <mergeCell ref="AZ335:AZ336"/>
    <mergeCell ref="AZ337:AZ338"/>
    <mergeCell ref="AZ339:AZ340"/>
    <mergeCell ref="AZ341:AZ342"/>
    <mergeCell ref="AZ343:AZ344"/>
    <mergeCell ref="AZ345:AZ346"/>
    <mergeCell ref="AZ347:AZ348"/>
    <mergeCell ref="AZ349:AZ350"/>
    <mergeCell ref="AZ351:AZ352"/>
    <mergeCell ref="AZ353:AZ354"/>
    <mergeCell ref="AZ355:AZ356"/>
    <mergeCell ref="AZ357:AZ358"/>
    <mergeCell ref="AZ359:AZ360"/>
    <mergeCell ref="AZ361:AZ362"/>
    <mergeCell ref="AZ363:AZ364"/>
    <mergeCell ref="AZ365:AZ366"/>
    <mergeCell ref="AZ367:AZ368"/>
    <mergeCell ref="AZ369:AZ370"/>
    <mergeCell ref="AZ371:AZ372"/>
    <mergeCell ref="AZ373:AZ374"/>
    <mergeCell ref="AZ375:AZ376"/>
    <mergeCell ref="AZ377:AZ378"/>
    <mergeCell ref="AZ379:AZ380"/>
    <mergeCell ref="AZ381:AZ382"/>
    <mergeCell ref="AZ383:AZ384"/>
    <mergeCell ref="AZ385:AZ386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2"/>
  <sheetViews>
    <sheetView workbookViewId="0">
      <selection activeCell="M14" sqref="M14"/>
    </sheetView>
  </sheetViews>
  <sheetFormatPr defaultColWidth="8.88888888888889" defaultRowHeight="14.4" outlineLevelRow="1"/>
  <sheetData>
    <row r="1" s="15" customFormat="1" ht="47.1" customHeight="1" spans="1:133">
      <c r="A1" s="17" t="s">
        <v>287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  <c r="V1" s="18"/>
    </row>
    <row r="2" s="16" customFormat="1" ht="27.95" customHeight="1" spans="1:133">
      <c r="A2" s="19" t="s">
        <v>288</v>
      </c>
      <c r="B2" s="19" t="s">
        <v>289</v>
      </c>
      <c r="C2" s="20" t="s">
        <v>4</v>
      </c>
      <c r="D2" s="21" t="s">
        <v>7</v>
      </c>
      <c r="E2" s="21" t="s">
        <v>290</v>
      </c>
      <c r="F2" s="21" t="s">
        <v>291</v>
      </c>
      <c r="G2" s="21" t="s">
        <v>292</v>
      </c>
      <c r="H2" s="21" t="s">
        <v>293</v>
      </c>
      <c r="I2" s="21" t="s">
        <v>294</v>
      </c>
      <c r="J2" s="21" t="s">
        <v>295</v>
      </c>
      <c r="K2" s="21" t="s">
        <v>296</v>
      </c>
      <c r="L2" s="21" t="s">
        <v>297</v>
      </c>
      <c r="M2" s="21" t="s">
        <v>298</v>
      </c>
      <c r="N2" s="21" t="s">
        <v>299</v>
      </c>
      <c r="O2" s="21" t="s">
        <v>300</v>
      </c>
      <c r="P2" s="21" t="s">
        <v>301</v>
      </c>
      <c r="Q2" s="21" t="s">
        <v>302</v>
      </c>
      <c r="R2" s="21" t="s">
        <v>303</v>
      </c>
      <c r="S2" s="21" t="s">
        <v>304</v>
      </c>
      <c r="T2" s="21" t="s">
        <v>305</v>
      </c>
      <c r="U2" s="22"/>
      <c r="V2" s="22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</row>
  </sheetData>
  <mergeCells count="1">
    <mergeCell ref="A1:T1"/>
  </mergeCells>
  <conditionalFormatting sqref="C2"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N8" sqref="N8"/>
    </sheetView>
  </sheetViews>
  <sheetFormatPr defaultColWidth="9" defaultRowHeight="14.4"/>
  <cols>
    <col min="1" max="1" width="4.37962962962963" style="1" customWidth="1"/>
    <col min="2" max="2" width="7.25" style="2" customWidth="1"/>
    <col min="3" max="3" width="7.37962962962963" style="1" customWidth="1"/>
    <col min="4" max="4" width="6.87962962962963" style="1" customWidth="1"/>
    <col min="5" max="5" width="7.12962962962963" style="1" customWidth="1"/>
    <col min="6" max="6" width="14.75" style="1" customWidth="1"/>
    <col min="7" max="7" width="14.6296296296296" style="1" customWidth="1"/>
    <col min="8" max="8" width="16.1296296296296" style="1" customWidth="1"/>
    <col min="9" max="9" width="13.3796296296296" style="1" customWidth="1"/>
    <col min="10" max="10" width="14.1296296296296" style="1" customWidth="1"/>
    <col min="11" max="11" width="37.3796296296296" style="1" customWidth="1"/>
    <col min="12" max="16384" width="9" style="1"/>
  </cols>
  <sheetData>
    <row r="1" s="1" customFormat="1" ht="21.95" customHeight="1" spans="1:11">
      <c r="A1" s="3" t="s">
        <v>306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1" customFormat="1" ht="35.25" customHeight="1" spans="1:11">
      <c r="A2" s="4" t="s">
        <v>288</v>
      </c>
      <c r="B2" s="5" t="s">
        <v>4</v>
      </c>
      <c r="C2" s="6" t="s">
        <v>307</v>
      </c>
      <c r="D2" s="6" t="s">
        <v>308</v>
      </c>
      <c r="E2" s="6" t="s">
        <v>309</v>
      </c>
      <c r="F2" s="6" t="s">
        <v>310</v>
      </c>
      <c r="G2" s="6" t="s">
        <v>311</v>
      </c>
      <c r="H2" s="7" t="s">
        <v>312</v>
      </c>
      <c r="I2" s="6" t="s">
        <v>313</v>
      </c>
      <c r="J2" s="4" t="s">
        <v>314</v>
      </c>
      <c r="K2" s="4"/>
    </row>
    <row r="3" s="1" customFormat="1" ht="24.95" customHeight="1" spans="1:11">
      <c r="A3" s="4">
        <v>1</v>
      </c>
      <c r="B3" s="8" t="s">
        <v>44</v>
      </c>
      <c r="C3" s="9"/>
      <c r="D3" s="9"/>
      <c r="E3" s="9"/>
      <c r="F3" s="9"/>
      <c r="G3" s="9"/>
      <c r="H3" s="10"/>
      <c r="I3" s="9">
        <v>1</v>
      </c>
      <c r="J3" s="11">
        <f t="shared" ref="J3:J27" si="0">(C3+D3+E3+F3)*1+G3*2+(CEILING(H3,30)/30)+I3*1</f>
        <v>1</v>
      </c>
      <c r="K3" s="12" t="s">
        <v>315</v>
      </c>
    </row>
    <row r="4" s="1" customFormat="1" ht="24.95" customHeight="1" spans="1:11">
      <c r="A4" s="4">
        <v>2</v>
      </c>
      <c r="B4" s="8" t="s">
        <v>68</v>
      </c>
      <c r="C4" s="9"/>
      <c r="D4" s="9">
        <v>2</v>
      </c>
      <c r="E4" s="9"/>
      <c r="F4" s="9"/>
      <c r="G4" s="9"/>
      <c r="H4" s="9"/>
      <c r="I4" s="9"/>
      <c r="J4" s="11">
        <f t="shared" si="0"/>
        <v>2</v>
      </c>
      <c r="K4" s="12" t="s">
        <v>316</v>
      </c>
    </row>
    <row r="5" s="1" customFormat="1" ht="24.95" customHeight="1" spans="1:11">
      <c r="A5" s="4">
        <v>3</v>
      </c>
      <c r="B5" s="8" t="s">
        <v>91</v>
      </c>
      <c r="C5" s="9"/>
      <c r="D5" s="9"/>
      <c r="E5" s="9"/>
      <c r="F5" s="9">
        <v>1</v>
      </c>
      <c r="G5" s="9"/>
      <c r="H5" s="9"/>
      <c r="I5" s="9"/>
      <c r="J5" s="11">
        <f t="shared" si="0"/>
        <v>1</v>
      </c>
      <c r="K5" s="12" t="s">
        <v>317</v>
      </c>
    </row>
    <row r="6" s="1" customFormat="1" ht="24.95" customHeight="1" spans="1:11">
      <c r="A6" s="4">
        <v>4</v>
      </c>
      <c r="B6" s="13" t="s">
        <v>94</v>
      </c>
      <c r="C6" s="4"/>
      <c r="D6" s="4">
        <v>1</v>
      </c>
      <c r="E6" s="4"/>
      <c r="F6" s="4">
        <v>3</v>
      </c>
      <c r="G6" s="4"/>
      <c r="H6" s="4"/>
      <c r="I6" s="4"/>
      <c r="J6" s="11">
        <f t="shared" si="0"/>
        <v>4</v>
      </c>
      <c r="K6" s="14" t="s">
        <v>318</v>
      </c>
    </row>
    <row r="7" s="1" customFormat="1" ht="24.95" customHeight="1" spans="1:11">
      <c r="A7" s="4">
        <v>5</v>
      </c>
      <c r="B7" s="8" t="s">
        <v>109</v>
      </c>
      <c r="C7" s="9"/>
      <c r="D7" s="9"/>
      <c r="E7" s="9"/>
      <c r="F7" s="9"/>
      <c r="G7" s="9">
        <v>1</v>
      </c>
      <c r="H7" s="9"/>
      <c r="I7" s="9"/>
      <c r="J7" s="11">
        <f t="shared" si="0"/>
        <v>2</v>
      </c>
      <c r="K7" s="12" t="s">
        <v>319</v>
      </c>
    </row>
    <row r="8" s="1" customFormat="1" ht="24.95" customHeight="1" spans="1:11">
      <c r="A8" s="4">
        <v>6</v>
      </c>
      <c r="B8" s="8" t="s">
        <v>111</v>
      </c>
      <c r="C8" s="9"/>
      <c r="D8" s="9"/>
      <c r="E8" s="9"/>
      <c r="F8" s="9"/>
      <c r="G8" s="9"/>
      <c r="H8" s="9"/>
      <c r="I8" s="9">
        <v>1</v>
      </c>
      <c r="J8" s="11">
        <f t="shared" si="0"/>
        <v>1</v>
      </c>
      <c r="K8" s="12" t="s">
        <v>320</v>
      </c>
    </row>
    <row r="9" s="1" customFormat="1" ht="24.95" customHeight="1" spans="1:11">
      <c r="A9" s="4">
        <v>7</v>
      </c>
      <c r="B9" s="8" t="s">
        <v>115</v>
      </c>
      <c r="C9" s="9"/>
      <c r="D9" s="9"/>
      <c r="E9" s="9">
        <v>1</v>
      </c>
      <c r="F9" s="9"/>
      <c r="G9" s="9"/>
      <c r="H9" s="9"/>
      <c r="I9" s="9"/>
      <c r="J9" s="11">
        <f t="shared" si="0"/>
        <v>1</v>
      </c>
      <c r="K9" s="12" t="s">
        <v>321</v>
      </c>
    </row>
    <row r="10" s="1" customFormat="1" ht="24.95" customHeight="1" spans="1:11">
      <c r="A10" s="4">
        <v>8</v>
      </c>
      <c r="B10" s="13" t="s">
        <v>120</v>
      </c>
      <c r="C10" s="4"/>
      <c r="D10" s="4">
        <v>1</v>
      </c>
      <c r="E10" s="4"/>
      <c r="F10" s="4"/>
      <c r="G10" s="4"/>
      <c r="H10" s="4"/>
      <c r="I10" s="4"/>
      <c r="J10" s="11">
        <f t="shared" si="0"/>
        <v>1</v>
      </c>
      <c r="K10" s="14" t="s">
        <v>322</v>
      </c>
    </row>
    <row r="11" s="1" customFormat="1" ht="24.95" customHeight="1" spans="1:11">
      <c r="A11" s="4">
        <v>9</v>
      </c>
      <c r="B11" s="8" t="s">
        <v>135</v>
      </c>
      <c r="C11" s="9"/>
      <c r="D11" s="9">
        <v>1</v>
      </c>
      <c r="E11" s="9"/>
      <c r="F11" s="9"/>
      <c r="G11" s="9"/>
      <c r="H11" s="9"/>
      <c r="I11" s="9"/>
      <c r="J11" s="11">
        <f t="shared" si="0"/>
        <v>1</v>
      </c>
      <c r="K11" s="12" t="s">
        <v>323</v>
      </c>
    </row>
    <row r="12" s="1" customFormat="1" ht="24.95" customHeight="1" spans="1:11">
      <c r="A12" s="4">
        <v>10</v>
      </c>
      <c r="B12" s="8" t="s">
        <v>153</v>
      </c>
      <c r="C12" s="9"/>
      <c r="D12" s="9"/>
      <c r="E12" s="9"/>
      <c r="F12" s="9"/>
      <c r="G12" s="9">
        <v>1</v>
      </c>
      <c r="H12" s="9"/>
      <c r="I12" s="9"/>
      <c r="J12" s="11">
        <f t="shared" si="0"/>
        <v>2</v>
      </c>
      <c r="K12" s="12" t="s">
        <v>324</v>
      </c>
    </row>
    <row r="13" s="1" customFormat="1" ht="24.95" customHeight="1" spans="1:11">
      <c r="A13" s="4">
        <v>11</v>
      </c>
      <c r="B13" s="8" t="s">
        <v>155</v>
      </c>
      <c r="C13" s="9"/>
      <c r="D13" s="9"/>
      <c r="E13" s="9"/>
      <c r="F13" s="9"/>
      <c r="G13" s="9">
        <v>1</v>
      </c>
      <c r="H13" s="9"/>
      <c r="I13" s="9"/>
      <c r="J13" s="11">
        <f t="shared" si="0"/>
        <v>2</v>
      </c>
      <c r="K13" s="12" t="s">
        <v>325</v>
      </c>
    </row>
    <row r="14" s="1" customFormat="1" ht="24.75" customHeight="1" spans="1:11">
      <c r="A14" s="4">
        <v>12</v>
      </c>
      <c r="B14" s="8" t="s">
        <v>157</v>
      </c>
      <c r="C14" s="9"/>
      <c r="D14" s="9"/>
      <c r="E14" s="9"/>
      <c r="F14" s="9"/>
      <c r="G14" s="9">
        <v>1</v>
      </c>
      <c r="H14" s="9"/>
      <c r="I14" s="9"/>
      <c r="J14" s="11">
        <f t="shared" si="0"/>
        <v>2</v>
      </c>
      <c r="K14" s="12" t="s">
        <v>326</v>
      </c>
    </row>
    <row r="15" s="1" customFormat="1" ht="24.75" customHeight="1" spans="1:11">
      <c r="A15" s="4">
        <v>13</v>
      </c>
      <c r="B15" s="8" t="s">
        <v>163</v>
      </c>
      <c r="C15" s="9"/>
      <c r="D15" s="9"/>
      <c r="E15" s="9">
        <v>1</v>
      </c>
      <c r="F15" s="9"/>
      <c r="G15" s="9"/>
      <c r="H15" s="9"/>
      <c r="I15" s="9"/>
      <c r="J15" s="11">
        <f t="shared" si="0"/>
        <v>1</v>
      </c>
      <c r="K15" s="12" t="s">
        <v>327</v>
      </c>
    </row>
    <row r="16" s="1" customFormat="1" ht="24.75" customHeight="1" spans="1:11">
      <c r="A16" s="4">
        <v>14</v>
      </c>
      <c r="B16" s="8" t="s">
        <v>164</v>
      </c>
      <c r="C16" s="9"/>
      <c r="D16" s="9"/>
      <c r="E16" s="9"/>
      <c r="F16" s="9"/>
      <c r="G16" s="9"/>
      <c r="H16" s="9"/>
      <c r="I16" s="9">
        <v>1</v>
      </c>
      <c r="J16" s="11">
        <f t="shared" si="0"/>
        <v>1</v>
      </c>
      <c r="K16" s="12" t="s">
        <v>328</v>
      </c>
    </row>
    <row r="17" s="1" customFormat="1" ht="24.75" customHeight="1" spans="1:11">
      <c r="A17" s="4">
        <v>15</v>
      </c>
      <c r="B17" s="8" t="s">
        <v>174</v>
      </c>
      <c r="C17" s="9"/>
      <c r="D17" s="9"/>
      <c r="E17" s="9">
        <v>1</v>
      </c>
      <c r="F17" s="9"/>
      <c r="G17" s="9"/>
      <c r="H17" s="9"/>
      <c r="I17" s="9"/>
      <c r="J17" s="11">
        <f t="shared" si="0"/>
        <v>1</v>
      </c>
      <c r="K17" s="12" t="s">
        <v>329</v>
      </c>
    </row>
    <row r="18" s="1" customFormat="1" ht="24.75" customHeight="1" spans="1:11">
      <c r="A18" s="4">
        <v>16</v>
      </c>
      <c r="B18" s="8" t="s">
        <v>181</v>
      </c>
      <c r="C18" s="9"/>
      <c r="D18" s="9"/>
      <c r="E18" s="9">
        <v>1</v>
      </c>
      <c r="F18" s="9"/>
      <c r="G18" s="9"/>
      <c r="H18" s="9"/>
      <c r="I18" s="9"/>
      <c r="J18" s="11">
        <f t="shared" si="0"/>
        <v>1</v>
      </c>
      <c r="K18" s="12" t="s">
        <v>330</v>
      </c>
    </row>
    <row r="19" s="1" customFormat="1" ht="24.75" customHeight="1" spans="1:11">
      <c r="A19" s="4">
        <v>17</v>
      </c>
      <c r="B19" s="8" t="s">
        <v>186</v>
      </c>
      <c r="C19" s="9"/>
      <c r="D19" s="9"/>
      <c r="E19" s="9"/>
      <c r="F19" s="9"/>
      <c r="G19" s="9"/>
      <c r="H19" s="9"/>
      <c r="I19" s="9">
        <v>1</v>
      </c>
      <c r="J19" s="11">
        <f t="shared" si="0"/>
        <v>1</v>
      </c>
      <c r="K19" s="12" t="s">
        <v>331</v>
      </c>
    </row>
    <row r="20" s="1" customFormat="1" ht="24.75" customHeight="1" spans="1:11">
      <c r="A20" s="4">
        <v>18</v>
      </c>
      <c r="B20" s="8" t="s">
        <v>187</v>
      </c>
      <c r="C20" s="9"/>
      <c r="D20" s="9"/>
      <c r="E20" s="9"/>
      <c r="F20" s="9">
        <v>3</v>
      </c>
      <c r="G20" s="9"/>
      <c r="H20" s="9"/>
      <c r="I20" s="9">
        <v>1</v>
      </c>
      <c r="J20" s="11">
        <f t="shared" si="0"/>
        <v>4</v>
      </c>
      <c r="K20" s="12" t="s">
        <v>332</v>
      </c>
    </row>
    <row r="21" s="1" customFormat="1" ht="24.75" customHeight="1" spans="1:11">
      <c r="A21" s="4">
        <v>19</v>
      </c>
      <c r="B21" s="8" t="s">
        <v>193</v>
      </c>
      <c r="C21" s="9"/>
      <c r="D21" s="9"/>
      <c r="E21" s="9"/>
      <c r="F21" s="9"/>
      <c r="G21" s="9"/>
      <c r="H21" s="9"/>
      <c r="I21" s="9">
        <v>1</v>
      </c>
      <c r="J21" s="11">
        <f t="shared" si="0"/>
        <v>1</v>
      </c>
      <c r="K21" s="12" t="s">
        <v>333</v>
      </c>
    </row>
    <row r="22" s="1" customFormat="1" ht="24.75" customHeight="1" spans="1:11">
      <c r="A22" s="4">
        <v>20</v>
      </c>
      <c r="B22" s="8" t="s">
        <v>213</v>
      </c>
      <c r="C22" s="9"/>
      <c r="D22" s="9"/>
      <c r="E22" s="9">
        <v>1</v>
      </c>
      <c r="F22" s="9"/>
      <c r="G22" s="9"/>
      <c r="H22" s="9"/>
      <c r="I22" s="9"/>
      <c r="J22" s="11">
        <f t="shared" si="0"/>
        <v>1</v>
      </c>
      <c r="K22" s="12" t="s">
        <v>334</v>
      </c>
    </row>
    <row r="23" s="1" customFormat="1" ht="54" customHeight="1" spans="1:11">
      <c r="A23" s="4">
        <v>21</v>
      </c>
      <c r="B23" s="8" t="s">
        <v>216</v>
      </c>
      <c r="C23" s="9"/>
      <c r="D23" s="9"/>
      <c r="E23" s="9">
        <v>1</v>
      </c>
      <c r="F23" s="9"/>
      <c r="G23" s="9"/>
      <c r="H23" s="9"/>
      <c r="I23" s="9"/>
      <c r="J23" s="11">
        <f t="shared" si="0"/>
        <v>1</v>
      </c>
      <c r="K23" s="12" t="s">
        <v>335</v>
      </c>
    </row>
    <row r="24" s="1" customFormat="1" ht="24.75" customHeight="1" spans="1:11">
      <c r="A24" s="4">
        <v>22</v>
      </c>
      <c r="B24" s="8" t="s">
        <v>226</v>
      </c>
      <c r="C24" s="9"/>
      <c r="D24" s="9"/>
      <c r="E24" s="9">
        <v>3</v>
      </c>
      <c r="F24" s="9"/>
      <c r="G24" s="9"/>
      <c r="H24" s="9"/>
      <c r="I24" s="9"/>
      <c r="J24" s="11">
        <f t="shared" si="0"/>
        <v>3</v>
      </c>
      <c r="K24" s="12" t="s">
        <v>336</v>
      </c>
    </row>
    <row r="25" s="1" customFormat="1" ht="24.75" customHeight="1" spans="1:11">
      <c r="A25" s="4">
        <v>23</v>
      </c>
      <c r="B25" s="8" t="s">
        <v>234</v>
      </c>
      <c r="C25" s="9"/>
      <c r="D25" s="9">
        <v>1</v>
      </c>
      <c r="E25" s="9">
        <v>1</v>
      </c>
      <c r="F25" s="9">
        <v>7</v>
      </c>
      <c r="G25" s="9">
        <v>1</v>
      </c>
      <c r="H25" s="9"/>
      <c r="I25" s="9"/>
      <c r="J25" s="11">
        <f t="shared" si="0"/>
        <v>11</v>
      </c>
      <c r="K25" s="12" t="s">
        <v>337</v>
      </c>
    </row>
    <row r="26" s="1" customFormat="1" ht="24.75" customHeight="1" spans="1:11">
      <c r="A26" s="4">
        <v>24</v>
      </c>
      <c r="B26" s="8" t="s">
        <v>250</v>
      </c>
      <c r="C26" s="9"/>
      <c r="D26" s="9"/>
      <c r="E26" s="9">
        <v>1</v>
      </c>
      <c r="F26" s="9"/>
      <c r="G26" s="9"/>
      <c r="H26" s="9"/>
      <c r="I26" s="9"/>
      <c r="J26" s="11">
        <f t="shared" si="0"/>
        <v>1</v>
      </c>
      <c r="K26" s="12" t="s">
        <v>338</v>
      </c>
    </row>
    <row r="27" s="1" customFormat="1" ht="24.75" customHeight="1" spans="1:11">
      <c r="A27" s="4">
        <v>25</v>
      </c>
      <c r="B27" s="8" t="s">
        <v>256</v>
      </c>
      <c r="C27" s="9"/>
      <c r="D27" s="9">
        <v>1</v>
      </c>
      <c r="E27" s="9">
        <v>2</v>
      </c>
      <c r="F27" s="9"/>
      <c r="G27" s="9"/>
      <c r="H27" s="9"/>
      <c r="I27" s="9"/>
      <c r="J27" s="11">
        <f t="shared" si="0"/>
        <v>3</v>
      </c>
      <c r="K27" s="12" t="s">
        <v>339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考勤明细</vt:lpstr>
      <vt:lpstr>考勤汇总表</vt:lpstr>
      <vt:lpstr>异常打卡明细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flt</dc:creator>
  <cp:lastModifiedBy>crush</cp:lastModifiedBy>
  <dcterms:created xsi:type="dcterms:W3CDTF">2026-08-04T05:55:00Z</dcterms:created>
  <dcterms:modified xsi:type="dcterms:W3CDTF">2026-08-05T02:55:03Z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4C6089C4932943CB8842411650D62BB3_11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